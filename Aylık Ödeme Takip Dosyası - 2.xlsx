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-120" yWindow="-120" windowWidth="38640" windowHeight="21120" activeTab="2"/>
  </bookViews>
  <sheets>
    <sheet name="DEMIRBAS_TAKIP" sheetId="14" r:id="rId1"/>
    <sheet name="AIDAT_DOGALGAZ_TAKIP" sheetId="12" r:id="rId2"/>
    <sheet name="DOĞALGAZ ABONELİK" sheetId="15" r:id="rId3"/>
    <sheet name="DOGALGAZ_FATURA" sheetId="10" r:id="rId4"/>
    <sheet name="DOGALGAZ_DATA" sheetId="11" r:id="rId5"/>
    <sheet name="DOĞALGAZ AVANS" sheetId="9" r:id="rId6"/>
  </sheets>
  <definedNames>
    <definedName name="_xlnm._FilterDatabase" localSheetId="1" hidden="1">AIDAT_DOGALGAZ_TAKIP!$A$1:$AJ$66</definedName>
    <definedName name="_xlnm._FilterDatabase" localSheetId="5" hidden="1">'DOĞALGAZ AVANS'!$A$1:$M$121</definedName>
    <definedName name="_xlnm.Print_Area" localSheetId="3">DOGALGAZ_FATURA!$A$1:$P$38</definedName>
    <definedName name="_xlnm.Print_Area" localSheetId="5">'DOĞALGAZ AVANS'!$A:$O</definedName>
    <definedName name="_xlnm.Print_Titles" localSheetId="1">AIDAT_DOGALGAZ_TAKIP!$2:$2</definedName>
    <definedName name="_xlnm.Print_Titles" localSheetId="0">DEMIRBAS_TAKIP!$2:$2</definedName>
    <definedName name="_xlnm.Print_Titles" localSheetId="2">'DOĞALGAZ ABONELİK'!$1:$1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7" i="12" l="1"/>
  <c r="Y67" i="12"/>
  <c r="Z67" i="12"/>
  <c r="AA67" i="12"/>
  <c r="AB67" i="12"/>
  <c r="AC67" i="12"/>
  <c r="AD67" i="12"/>
  <c r="AE67" i="12"/>
  <c r="AF67" i="12"/>
  <c r="AG67" i="12"/>
  <c r="AH67" i="12"/>
  <c r="AI67" i="12"/>
  <c r="AJ67" i="12"/>
  <c r="X67" i="12"/>
  <c r="S4" i="14" l="1"/>
  <c r="S5" i="14"/>
  <c r="S6" i="14"/>
  <c r="S7" i="14"/>
  <c r="S8" i="14"/>
  <c r="S9" i="14"/>
  <c r="S10" i="14"/>
  <c r="S11" i="14"/>
  <c r="S12" i="14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28" i="14"/>
  <c r="S29" i="14"/>
  <c r="S30" i="14"/>
  <c r="S31" i="14"/>
  <c r="S32" i="14"/>
  <c r="S33" i="14"/>
  <c r="S34" i="14"/>
  <c r="S35" i="14"/>
  <c r="S36" i="14"/>
  <c r="S37" i="14"/>
  <c r="S38" i="14"/>
  <c r="S39" i="14"/>
  <c r="S40" i="14"/>
  <c r="S41" i="14"/>
  <c r="S42" i="14"/>
  <c r="S43" i="14"/>
  <c r="S44" i="14"/>
  <c r="S45" i="14"/>
  <c r="S46" i="14"/>
  <c r="S47" i="14"/>
  <c r="S48" i="14"/>
  <c r="S49" i="14"/>
  <c r="S50" i="14"/>
  <c r="S51" i="14"/>
  <c r="S52" i="14"/>
  <c r="S53" i="14"/>
  <c r="S54" i="14"/>
  <c r="S55" i="14"/>
  <c r="S56" i="14"/>
  <c r="S57" i="14"/>
  <c r="S58" i="14"/>
  <c r="S59" i="14"/>
  <c r="S60" i="14"/>
  <c r="S61" i="14"/>
  <c r="S62" i="14"/>
  <c r="S63" i="14"/>
  <c r="S64" i="14"/>
  <c r="S65" i="14"/>
  <c r="S66" i="14"/>
  <c r="S3" i="14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Y30" i="12"/>
  <c r="AA30" i="12"/>
  <c r="AC30" i="12"/>
  <c r="AE30" i="12"/>
  <c r="AG30" i="12"/>
  <c r="AI30" i="12"/>
  <c r="E7" i="11" l="1"/>
  <c r="F7" i="11"/>
  <c r="G7" i="11"/>
  <c r="H7" i="11"/>
  <c r="I7" i="11"/>
  <c r="J7" i="11"/>
  <c r="K7" i="11"/>
  <c r="L7" i="11"/>
  <c r="M7" i="11"/>
  <c r="N7" i="11"/>
  <c r="O7" i="11"/>
  <c r="P7" i="11"/>
  <c r="E8" i="11"/>
  <c r="F8" i="11"/>
  <c r="G8" i="11"/>
  <c r="H8" i="11"/>
  <c r="I8" i="11"/>
  <c r="J8" i="11"/>
  <c r="K8" i="11"/>
  <c r="L8" i="11"/>
  <c r="M8" i="11"/>
  <c r="N8" i="11"/>
  <c r="O8" i="11"/>
  <c r="P8" i="11"/>
  <c r="E9" i="11"/>
  <c r="F9" i="11"/>
  <c r="G9" i="11"/>
  <c r="H9" i="11"/>
  <c r="I9" i="11"/>
  <c r="J9" i="11"/>
  <c r="K9" i="11"/>
  <c r="L9" i="11"/>
  <c r="M9" i="11"/>
  <c r="N9" i="11"/>
  <c r="O9" i="11"/>
  <c r="P9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F6" i="11"/>
  <c r="G6" i="11"/>
  <c r="H6" i="11"/>
  <c r="I6" i="11"/>
  <c r="J6" i="11"/>
  <c r="K6" i="11"/>
  <c r="L6" i="11"/>
  <c r="M6" i="11"/>
  <c r="N6" i="11"/>
  <c r="O6" i="11"/>
  <c r="P6" i="11"/>
  <c r="E6" i="11"/>
  <c r="P31" i="10"/>
  <c r="A6" i="11" l="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F1" i="11"/>
  <c r="G1" i="11"/>
  <c r="H1" i="11"/>
  <c r="I1" i="11"/>
  <c r="J1" i="11"/>
  <c r="K1" i="11"/>
  <c r="L1" i="11"/>
  <c r="M1" i="11"/>
  <c r="N1" i="11"/>
  <c r="O1" i="11"/>
  <c r="P1" i="11"/>
  <c r="E1" i="11"/>
  <c r="M35" i="10" s="1"/>
  <c r="A2" i="10"/>
  <c r="F4" i="11"/>
  <c r="G4" i="11"/>
  <c r="H4" i="11"/>
  <c r="I4" i="11"/>
  <c r="J4" i="11"/>
  <c r="K4" i="11"/>
  <c r="L4" i="11"/>
  <c r="M4" i="11"/>
  <c r="N4" i="11"/>
  <c r="AE29" i="12" s="1"/>
  <c r="O4" i="11"/>
  <c r="P4" i="11"/>
  <c r="AI66" i="12" s="1"/>
  <c r="E4" i="11"/>
  <c r="I3" i="10" l="1"/>
  <c r="S68" i="14"/>
  <c r="D3" i="10"/>
  <c r="N35" i="10"/>
  <c r="O35" i="10"/>
  <c r="P35" i="10"/>
  <c r="L26" i="10"/>
  <c r="P15" i="10"/>
  <c r="P10" i="10"/>
  <c r="H30" i="10"/>
  <c r="P5" i="10"/>
  <c r="AA48" i="12"/>
  <c r="W40" i="12"/>
  <c r="AI3" i="12"/>
  <c r="AI5" i="12"/>
  <c r="AI31" i="12"/>
  <c r="AI54" i="12"/>
  <c r="AI27" i="12"/>
  <c r="AI24" i="12"/>
  <c r="AI19" i="12"/>
  <c r="AG8" i="12"/>
  <c r="AG16" i="12"/>
  <c r="AG21" i="12"/>
  <c r="AG48" i="12"/>
  <c r="AG55" i="12"/>
  <c r="AG26" i="12"/>
  <c r="AG53" i="12"/>
  <c r="AG19" i="12"/>
  <c r="AG58" i="12"/>
  <c r="AG63" i="12"/>
  <c r="AG15" i="12"/>
  <c r="AG22" i="12"/>
  <c r="AG23" i="12"/>
  <c r="AG44" i="12"/>
  <c r="AG52" i="12"/>
  <c r="AG5" i="12"/>
  <c r="AG6" i="12"/>
  <c r="AG7" i="12"/>
  <c r="AG38" i="12"/>
  <c r="AG42" i="12"/>
  <c r="AG12" i="12"/>
  <c r="AG17" i="12"/>
  <c r="AG40" i="12"/>
  <c r="AG39" i="12"/>
  <c r="AG51" i="12"/>
  <c r="AG29" i="12"/>
  <c r="AG28" i="12"/>
  <c r="AG36" i="12"/>
  <c r="AG14" i="12"/>
  <c r="AG25" i="12"/>
  <c r="AG45" i="12"/>
  <c r="AG56" i="12"/>
  <c r="AG20" i="12"/>
  <c r="AG50" i="12"/>
  <c r="AG9" i="12"/>
  <c r="AG32" i="12"/>
  <c r="AG34" i="12"/>
  <c r="AG61" i="12"/>
  <c r="AG18" i="12"/>
  <c r="AG49" i="12"/>
  <c r="AG10" i="12"/>
  <c r="AG41" i="12"/>
  <c r="AG46" i="12"/>
  <c r="AG57" i="12"/>
  <c r="AG60" i="12"/>
  <c r="AG4" i="12"/>
  <c r="AG24" i="12"/>
  <c r="AG27" i="12"/>
  <c r="AG31" i="12"/>
  <c r="AG33" i="12"/>
  <c r="AG35" i="12"/>
  <c r="AG43" i="12"/>
  <c r="AG11" i="12"/>
  <c r="AG37" i="12"/>
  <c r="AG64" i="12"/>
  <c r="AG47" i="12"/>
  <c r="AG13" i="12"/>
  <c r="AG62" i="12"/>
  <c r="AG59" i="12"/>
  <c r="AG65" i="12"/>
  <c r="Y6" i="12"/>
  <c r="Y14" i="12"/>
  <c r="Y35" i="12"/>
  <c r="Y42" i="12"/>
  <c r="Y23" i="12"/>
  <c r="Y33" i="12"/>
  <c r="Y40" i="12"/>
  <c r="Y47" i="12"/>
  <c r="Y24" i="12"/>
  <c r="Y52" i="12"/>
  <c r="Y60" i="12"/>
  <c r="Y5" i="12"/>
  <c r="Y7" i="12"/>
  <c r="Y26" i="12"/>
  <c r="Y55" i="12"/>
  <c r="Y65" i="12"/>
  <c r="Y12" i="12"/>
  <c r="Y17" i="12"/>
  <c r="Y39" i="12"/>
  <c r="Y22" i="12"/>
  <c r="Y38" i="12"/>
  <c r="Y50" i="12"/>
  <c r="Y11" i="12"/>
  <c r="Y16" i="12"/>
  <c r="Y29" i="12"/>
  <c r="Y37" i="12"/>
  <c r="Y49" i="12"/>
  <c r="Y21" i="12"/>
  <c r="Y28" i="12"/>
  <c r="Y48" i="12"/>
  <c r="Y10" i="12"/>
  <c r="Y15" i="12"/>
  <c r="Y34" i="12"/>
  <c r="Y46" i="12"/>
  <c r="Y58" i="12"/>
  <c r="Y9" i="12"/>
  <c r="Y19" i="12"/>
  <c r="Y25" i="12"/>
  <c r="Y8" i="12"/>
  <c r="Y13" i="12"/>
  <c r="Y18" i="12"/>
  <c r="Y20" i="12"/>
  <c r="Y53" i="12"/>
  <c r="Y62" i="12"/>
  <c r="Y32" i="12"/>
  <c r="Y36" i="12"/>
  <c r="Y44" i="12"/>
  <c r="Y41" i="12"/>
  <c r="Y57" i="12"/>
  <c r="Y66" i="12"/>
  <c r="Y4" i="12"/>
  <c r="Y54" i="12"/>
  <c r="Y61" i="12"/>
  <c r="Y56" i="12"/>
  <c r="Y3" i="12"/>
  <c r="Y27" i="12"/>
  <c r="Y31" i="12"/>
  <c r="Y51" i="12"/>
  <c r="AE65" i="12"/>
  <c r="AC35" i="12"/>
  <c r="AE33" i="12"/>
  <c r="AC13" i="12"/>
  <c r="AG66" i="12"/>
  <c r="AG54" i="12"/>
  <c r="Y63" i="12"/>
  <c r="AC33" i="12"/>
  <c r="D6" i="10"/>
  <c r="D14" i="10"/>
  <c r="D22" i="10"/>
  <c r="D28" i="10"/>
  <c r="D35" i="10"/>
  <c r="H34" i="10"/>
  <c r="D26" i="10"/>
  <c r="D33" i="10"/>
  <c r="D10" i="10"/>
  <c r="D30" i="10"/>
  <c r="H13" i="10"/>
  <c r="D31" i="10"/>
  <c r="D18" i="10"/>
  <c r="H23" i="10"/>
  <c r="L23" i="10"/>
  <c r="L16" i="10"/>
  <c r="L20" i="10"/>
  <c r="H33" i="10"/>
  <c r="D17" i="10"/>
  <c r="D16" i="10"/>
  <c r="D21" i="10"/>
  <c r="D19" i="10"/>
  <c r="P22" i="10"/>
  <c r="L30" i="10"/>
  <c r="D25" i="10"/>
  <c r="D32" i="10"/>
  <c r="D34" i="10"/>
  <c r="H26" i="10"/>
  <c r="H20" i="10"/>
  <c r="L17" i="10"/>
  <c r="H17" i="10"/>
  <c r="H28" i="10"/>
  <c r="D12" i="10"/>
  <c r="D15" i="10"/>
  <c r="H5" i="10"/>
  <c r="L21" i="10"/>
  <c r="P17" i="10"/>
  <c r="H14" i="10"/>
  <c r="H25" i="10"/>
  <c r="H11" i="10"/>
  <c r="H16" i="10"/>
  <c r="L36" i="10"/>
  <c r="P18" i="10"/>
  <c r="H24" i="10"/>
  <c r="L11" i="10"/>
  <c r="L12" i="10"/>
  <c r="L25" i="10"/>
  <c r="P13" i="10"/>
  <c r="L34" i="10"/>
  <c r="P12" i="10"/>
  <c r="H19" i="10"/>
  <c r="P6" i="10"/>
  <c r="P24" i="10"/>
  <c r="H22" i="10"/>
  <c r="AC11" i="12"/>
  <c r="AC19" i="12"/>
  <c r="AC7" i="12"/>
  <c r="AC12" i="12"/>
  <c r="AC17" i="12"/>
  <c r="AC38" i="12"/>
  <c r="AC45" i="12"/>
  <c r="AC52" i="12"/>
  <c r="AC9" i="12"/>
  <c r="AC14" i="12"/>
  <c r="AC4" i="12"/>
  <c r="AC43" i="12"/>
  <c r="AC50" i="12"/>
  <c r="AC57" i="12"/>
  <c r="AC21" i="12"/>
  <c r="AC51" i="12"/>
  <c r="AC59" i="12"/>
  <c r="AC10" i="12"/>
  <c r="AC25" i="12"/>
  <c r="AC37" i="12"/>
  <c r="AC64" i="12"/>
  <c r="AC27" i="12"/>
  <c r="AC46" i="12"/>
  <c r="AC54" i="12"/>
  <c r="AC61" i="12"/>
  <c r="AC40" i="12"/>
  <c r="AC22" i="12"/>
  <c r="AC6" i="12"/>
  <c r="AC16" i="12"/>
  <c r="AC29" i="12"/>
  <c r="AC49" i="12"/>
  <c r="AC28" i="12"/>
  <c r="AC36" i="12"/>
  <c r="AC5" i="12"/>
  <c r="AC15" i="12"/>
  <c r="AC20" i="12"/>
  <c r="AC24" i="12"/>
  <c r="AC63" i="12"/>
  <c r="AC53" i="12"/>
  <c r="AC42" i="12"/>
  <c r="AC47" i="12"/>
  <c r="AC58" i="12"/>
  <c r="AC62" i="12"/>
  <c r="AC23" i="12"/>
  <c r="AC32" i="12"/>
  <c r="AC34" i="12"/>
  <c r="AC55" i="12"/>
  <c r="AC44" i="12"/>
  <c r="AC26" i="12"/>
  <c r="AC18" i="12"/>
  <c r="AC41" i="12"/>
  <c r="AC60" i="12"/>
  <c r="AC66" i="12"/>
  <c r="AC65" i="12"/>
  <c r="AC48" i="12"/>
  <c r="AC8" i="12"/>
  <c r="AC56" i="12"/>
  <c r="AC3" i="12"/>
  <c r="AC31" i="12"/>
  <c r="AC39" i="12"/>
  <c r="Y45" i="12"/>
  <c r="W3" i="12"/>
  <c r="Y59" i="12"/>
  <c r="Y43" i="12"/>
  <c r="AE10" i="12"/>
  <c r="AE18" i="12"/>
  <c r="AE26" i="12"/>
  <c r="AE38" i="12"/>
  <c r="AE46" i="12"/>
  <c r="AE54" i="12"/>
  <c r="AE28" i="12"/>
  <c r="AE31" i="12"/>
  <c r="AE62" i="12"/>
  <c r="AE9" i="12"/>
  <c r="AE14" i="12"/>
  <c r="AE19" i="12"/>
  <c r="AE36" i="12"/>
  <c r="AE20" i="12"/>
  <c r="AE35" i="12"/>
  <c r="AE43" i="12"/>
  <c r="AE11" i="12"/>
  <c r="AE12" i="12"/>
  <c r="AE13" i="12"/>
  <c r="AE24" i="12"/>
  <c r="AE60" i="12"/>
  <c r="AE4" i="12"/>
  <c r="AE23" i="12"/>
  <c r="AE41" i="12"/>
  <c r="AE53" i="12"/>
  <c r="AE17" i="12"/>
  <c r="AE7" i="12"/>
  <c r="AE39" i="12"/>
  <c r="AE22" i="12"/>
  <c r="AE51" i="12"/>
  <c r="AE50" i="12"/>
  <c r="AE27" i="12"/>
  <c r="AE47" i="12"/>
  <c r="AE48" i="12"/>
  <c r="AE8" i="12"/>
  <c r="AE63" i="12"/>
  <c r="AE15" i="12"/>
  <c r="AE32" i="12"/>
  <c r="AE34" i="12"/>
  <c r="AE55" i="12"/>
  <c r="AE61" i="12"/>
  <c r="AE44" i="12"/>
  <c r="AE21" i="12"/>
  <c r="AE49" i="12"/>
  <c r="AE52" i="12"/>
  <c r="AE57" i="12"/>
  <c r="AE66" i="12"/>
  <c r="AE5" i="12"/>
  <c r="AE59" i="12"/>
  <c r="AE25" i="12"/>
  <c r="AE45" i="12"/>
  <c r="AE56" i="12"/>
  <c r="AE42" i="12"/>
  <c r="AE3" i="12"/>
  <c r="AE37" i="12"/>
  <c r="AE16" i="12"/>
  <c r="AE6" i="12"/>
  <c r="AE58" i="12"/>
  <c r="AE40" i="12"/>
  <c r="AE64" i="12"/>
  <c r="AG3" i="12"/>
  <c r="D5" i="10"/>
  <c r="P26" i="10"/>
  <c r="W59" i="12"/>
  <c r="W8" i="12"/>
  <c r="W36" i="12"/>
  <c r="W44" i="12"/>
  <c r="W52" i="12"/>
  <c r="W60" i="12"/>
  <c r="W49" i="12"/>
  <c r="W56" i="12"/>
  <c r="W5" i="12"/>
  <c r="W54" i="12"/>
  <c r="W37" i="12"/>
  <c r="W64" i="12"/>
  <c r="W38" i="12"/>
  <c r="W46" i="12"/>
  <c r="W61" i="12"/>
  <c r="W7" i="12"/>
  <c r="W51" i="12"/>
  <c r="W6" i="12"/>
  <c r="W48" i="12"/>
  <c r="W62" i="12"/>
  <c r="W4" i="12"/>
  <c r="W42" i="12"/>
  <c r="W58" i="12"/>
  <c r="W47" i="12"/>
  <c r="W50" i="12"/>
  <c r="W39" i="12"/>
  <c r="W55" i="12"/>
  <c r="W41" i="12"/>
  <c r="W57" i="12"/>
  <c r="W66" i="12"/>
  <c r="W65" i="12"/>
  <c r="W43" i="12"/>
  <c r="W45" i="12"/>
  <c r="W63" i="12"/>
  <c r="W53" i="12"/>
  <c r="Y64" i="12"/>
  <c r="AA5" i="12"/>
  <c r="AA13" i="12"/>
  <c r="AA21" i="12"/>
  <c r="AA29" i="12"/>
  <c r="AA33" i="12"/>
  <c r="AA41" i="12"/>
  <c r="AA49" i="12"/>
  <c r="AA57" i="12"/>
  <c r="AA25" i="12"/>
  <c r="AA59" i="12"/>
  <c r="AA65" i="12"/>
  <c r="AA4" i="12"/>
  <c r="AA19" i="12"/>
  <c r="AA23" i="12"/>
  <c r="AA15" i="12"/>
  <c r="AA16" i="12"/>
  <c r="AA17" i="12"/>
  <c r="AA18" i="12"/>
  <c r="AA22" i="12"/>
  <c r="AA36" i="12"/>
  <c r="AA44" i="12"/>
  <c r="AA6" i="12"/>
  <c r="AA8" i="12"/>
  <c r="AA9" i="12"/>
  <c r="AA45" i="12"/>
  <c r="AA53" i="12"/>
  <c r="AA31" i="12"/>
  <c r="AA39" i="12"/>
  <c r="AA47" i="12"/>
  <c r="AA52" i="12"/>
  <c r="AA7" i="12"/>
  <c r="AA12" i="12"/>
  <c r="AA51" i="12"/>
  <c r="AA38" i="12"/>
  <c r="AA50" i="12"/>
  <c r="AA11" i="12"/>
  <c r="AA37" i="12"/>
  <c r="AA20" i="12"/>
  <c r="AA27" i="12"/>
  <c r="AA10" i="12"/>
  <c r="AA35" i="12"/>
  <c r="AA14" i="12"/>
  <c r="AA42" i="12"/>
  <c r="AA58" i="12"/>
  <c r="AA62" i="12"/>
  <c r="AA28" i="12"/>
  <c r="AA61" i="12"/>
  <c r="AA26" i="12"/>
  <c r="AA60" i="12"/>
  <c r="AA46" i="12"/>
  <c r="AA66" i="12"/>
  <c r="AA24" i="12"/>
  <c r="AA54" i="12"/>
  <c r="AA40" i="12"/>
  <c r="AA56" i="12"/>
  <c r="AA64" i="12"/>
  <c r="AA63" i="12"/>
  <c r="AI33" i="12"/>
  <c r="AA32" i="12"/>
  <c r="AA3" i="12"/>
  <c r="AA43" i="12"/>
  <c r="AA55" i="12"/>
  <c r="AI7" i="12"/>
  <c r="AI15" i="12"/>
  <c r="AI23" i="12"/>
  <c r="AI35" i="12"/>
  <c r="AI43" i="12"/>
  <c r="AI51" i="12"/>
  <c r="AI59" i="12"/>
  <c r="AI34" i="12"/>
  <c r="AI41" i="12"/>
  <c r="AI13" i="12"/>
  <c r="AI18" i="12"/>
  <c r="AI22" i="12"/>
  <c r="AI32" i="12"/>
  <c r="AI39" i="12"/>
  <c r="AI46" i="12"/>
  <c r="AI42" i="12"/>
  <c r="AI50" i="12"/>
  <c r="AI14" i="12"/>
  <c r="AI16" i="12"/>
  <c r="AI17" i="12"/>
  <c r="AI36" i="12"/>
  <c r="AI8" i="12"/>
  <c r="AI25" i="12"/>
  <c r="AI26" i="12"/>
  <c r="AI37" i="12"/>
  <c r="AI45" i="12"/>
  <c r="AI53" i="12"/>
  <c r="AI64" i="12"/>
  <c r="AI52" i="12"/>
  <c r="AI12" i="12"/>
  <c r="AI40" i="12"/>
  <c r="AI38" i="12"/>
  <c r="AI6" i="12"/>
  <c r="AI11" i="12"/>
  <c r="AI21" i="12"/>
  <c r="AI29" i="12"/>
  <c r="AI49" i="12"/>
  <c r="AI4" i="12"/>
  <c r="AI56" i="12"/>
  <c r="AI20" i="12"/>
  <c r="AI63" i="12"/>
  <c r="AI47" i="12"/>
  <c r="AI58" i="12"/>
  <c r="AI62" i="12"/>
  <c r="AI9" i="12"/>
  <c r="AI28" i="12"/>
  <c r="AI55" i="12"/>
  <c r="AI44" i="12"/>
  <c r="AI61" i="12"/>
  <c r="AI10" i="12"/>
  <c r="AI57" i="12"/>
  <c r="AI60" i="12"/>
  <c r="AI65" i="12"/>
  <c r="AI48" i="12"/>
  <c r="AA34" i="12"/>
  <c r="H18" i="10" l="1"/>
  <c r="D13" i="10"/>
  <c r="L19" i="10"/>
  <c r="L24" i="10"/>
  <c r="D24" i="10"/>
  <c r="P20" i="10"/>
  <c r="D27" i="10"/>
  <c r="D29" i="10"/>
  <c r="H32" i="10"/>
  <c r="H15" i="10"/>
  <c r="P21" i="10"/>
  <c r="P7" i="10"/>
  <c r="P11" i="10"/>
  <c r="H7" i="10"/>
  <c r="P19" i="10"/>
  <c r="L33" i="10"/>
  <c r="P28" i="10"/>
  <c r="H36" i="10"/>
  <c r="P23" i="10"/>
  <c r="L5" i="10"/>
  <c r="D23" i="10"/>
  <c r="H27" i="10"/>
  <c r="P16" i="10"/>
  <c r="L32" i="10"/>
  <c r="H37" i="10"/>
  <c r="H8" i="10"/>
  <c r="L35" i="10"/>
  <c r="L18" i="10"/>
  <c r="D11" i="10"/>
  <c r="L6" i="10"/>
  <c r="L13" i="10"/>
  <c r="P8" i="10"/>
  <c r="P27" i="10"/>
  <c r="H31" i="10"/>
  <c r="D20" i="10"/>
  <c r="D7" i="10"/>
  <c r="L28" i="10"/>
  <c r="L7" i="10"/>
  <c r="H29" i="10"/>
  <c r="P9" i="10"/>
  <c r="P14" i="10"/>
  <c r="H10" i="10"/>
  <c r="H9" i="10"/>
  <c r="H21" i="10"/>
  <c r="L31" i="10"/>
  <c r="P25" i="10"/>
  <c r="H6" i="10"/>
  <c r="H35" i="10"/>
  <c r="L15" i="10"/>
  <c r="L10" i="10"/>
  <c r="L9" i="10"/>
  <c r="L14" i="10"/>
  <c r="L8" i="10"/>
  <c r="D8" i="10"/>
  <c r="L29" i="10"/>
  <c r="L27" i="10"/>
  <c r="H12" i="10"/>
  <c r="L22" i="10"/>
  <c r="D9" i="10"/>
  <c r="L126" i="11"/>
  <c r="P126" i="11"/>
  <c r="M126" i="11"/>
  <c r="F126" i="11"/>
  <c r="J126" i="11"/>
  <c r="I126" i="11"/>
  <c r="O126" i="11"/>
  <c r="H126" i="11"/>
  <c r="G126" i="11"/>
  <c r="K126" i="11"/>
  <c r="N126" i="11"/>
  <c r="E126" i="11"/>
</calcChain>
</file>

<file path=xl/comments1.xml><?xml version="1.0" encoding="utf-8"?>
<comments xmlns="http://schemas.openxmlformats.org/spreadsheetml/2006/main">
  <authors>
    <author>Yazar</author>
  </authors>
  <commentList>
    <comment ref="T62" authorId="0" shapeId="0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EKSİK YATIRMA</t>
        </r>
      </text>
    </comment>
  </commentList>
</comments>
</file>

<file path=xl/sharedStrings.xml><?xml version="1.0" encoding="utf-8"?>
<sst xmlns="http://schemas.openxmlformats.org/spreadsheetml/2006/main" count="1496" uniqueCount="228">
  <si>
    <t>TAM ÖDEME</t>
  </si>
  <si>
    <t>EKSİK ÖDEME</t>
  </si>
  <si>
    <t>ÖDEME YOK</t>
  </si>
  <si>
    <t>FAZLA ÖDEME</t>
  </si>
  <si>
    <t>TOPLAM</t>
  </si>
  <si>
    <t>S.NO.</t>
  </si>
  <si>
    <t xml:space="preserve">BLOK </t>
  </si>
  <si>
    <t>DAİRE NO</t>
  </si>
  <si>
    <t>NİTELİGİ</t>
  </si>
  <si>
    <t>MT2</t>
  </si>
  <si>
    <t>KAT MALİKİ İSMİ</t>
  </si>
  <si>
    <t>TELEFON NO</t>
  </si>
  <si>
    <t>KİRACI İSMİ</t>
  </si>
  <si>
    <t>Sabit Aidat</t>
  </si>
  <si>
    <t>Tahakkuk</t>
  </si>
  <si>
    <t>Ödeme</t>
  </si>
  <si>
    <t>A-BLOK KREŞ</t>
  </si>
  <si>
    <t>A</t>
  </si>
  <si>
    <t>İŞ YERİ</t>
  </si>
  <si>
    <t>A-BLOK DAİRE 02</t>
  </si>
  <si>
    <t>1+1</t>
  </si>
  <si>
    <t>A-BLOK DAİRE 03</t>
  </si>
  <si>
    <t>2+1</t>
  </si>
  <si>
    <t>A-BLOK DAİRE 04</t>
  </si>
  <si>
    <t>3+1</t>
  </si>
  <si>
    <t>A-BLOK DAİRE 05</t>
  </si>
  <si>
    <t>A-BLOK DAİRE 06</t>
  </si>
  <si>
    <t>A-BLOK DAİRE 07</t>
  </si>
  <si>
    <t>A-BLOK DAİRE 08</t>
  </si>
  <si>
    <t>A-BLOK DAİRE 09</t>
  </si>
  <si>
    <t>A-BLOK DAİRE 10</t>
  </si>
  <si>
    <t>A-BLOK DAİRE 11</t>
  </si>
  <si>
    <t>A-BLOK DAİRE 12</t>
  </si>
  <si>
    <t>A-BLOK DAİRE 13</t>
  </si>
  <si>
    <t>A-BLOK DAİRE 14</t>
  </si>
  <si>
    <t>A-BLOK DAİRE 15</t>
  </si>
  <si>
    <t>A-BLOK DAİRE 16</t>
  </si>
  <si>
    <t>A-BLOK DAİRE 17</t>
  </si>
  <si>
    <t>A-BLOK DAİRE 18</t>
  </si>
  <si>
    <t>A-BLOK DAİRE 19</t>
  </si>
  <si>
    <t>A-BLOK DAİRE 20</t>
  </si>
  <si>
    <t>A-BLOK DAİRE 21</t>
  </si>
  <si>
    <t>A-BLOK DAİRE 22</t>
  </si>
  <si>
    <t>A-BLOK DAİRE 23</t>
  </si>
  <si>
    <t>A-BLOK DAİRE 24</t>
  </si>
  <si>
    <t>A-BLOK DAİRE 25</t>
  </si>
  <si>
    <t>A-BLOK DAİRE 26</t>
  </si>
  <si>
    <t>A-BLOK DAİRE 27</t>
  </si>
  <si>
    <t>B-BLOK KAPICI D.</t>
  </si>
  <si>
    <t>B</t>
  </si>
  <si>
    <t>B-BLOK DAİRE 01</t>
  </si>
  <si>
    <t>B-BLOK DAİRE 02</t>
  </si>
  <si>
    <t>B-BLOK DAİRE 03</t>
  </si>
  <si>
    <t>B-BLOK DAİRE 04</t>
  </si>
  <si>
    <t>B-BLOK DAİRE 05</t>
  </si>
  <si>
    <t>B-BLOK DAİRE 06</t>
  </si>
  <si>
    <t>B-BLOK DAİRE 07</t>
  </si>
  <si>
    <t>B-BLOK DAİRE 08</t>
  </si>
  <si>
    <t>B-BLOK DAİRE 09</t>
  </si>
  <si>
    <t>B-BLOK DAİRE 10</t>
  </si>
  <si>
    <t>B-BLOK DAİRE 11</t>
  </si>
  <si>
    <t>B-BLOK DAİRE 12</t>
  </si>
  <si>
    <t>B-BLOK DAİRE 13</t>
  </si>
  <si>
    <t>B-BLOK DAİRE 14</t>
  </si>
  <si>
    <t>B-BLOK DAİRE 15</t>
  </si>
  <si>
    <t>B-BLOK DAİRE 16</t>
  </si>
  <si>
    <t>B-BLOK DAİRE 17</t>
  </si>
  <si>
    <t>B-BLOK DAİRE 18</t>
  </si>
  <si>
    <t>B-BLOK DAİRE 19</t>
  </si>
  <si>
    <t>B-BLOK DAİRE 20</t>
  </si>
  <si>
    <t>B-BLOK DAİRE 21</t>
  </si>
  <si>
    <t>B-BLOK DAİRE 22</t>
  </si>
  <si>
    <t>B-BLOK DAİRE 23</t>
  </si>
  <si>
    <t>B-BLOK DAİRE 24</t>
  </si>
  <si>
    <t>B-BLOK DAİRE 25</t>
  </si>
  <si>
    <t>B-BLOK DAİRE 26</t>
  </si>
  <si>
    <t>B-BLOK DAİRE 27</t>
  </si>
  <si>
    <t>B-BLOK DAİRE 28</t>
  </si>
  <si>
    <t>B-BLOK DAİRE 29</t>
  </si>
  <si>
    <t>B-BLOK DAİRE 30</t>
  </si>
  <si>
    <t>B-BLOK DAİRE 31</t>
  </si>
  <si>
    <t>B-BLOK DAİRE 32</t>
  </si>
  <si>
    <t>C-BLOK DÜKKAN 01</t>
  </si>
  <si>
    <t>C</t>
  </si>
  <si>
    <t>C-BLOK DÜKKAN 02</t>
  </si>
  <si>
    <t>C-BLOK DÜKKAN 03</t>
  </si>
  <si>
    <t>C-BLOK DÜKKAN 04</t>
  </si>
  <si>
    <t>TROASPARK SİTESİ DAİRE ISITMA FATURA DÖKÜMÜ</t>
  </si>
  <si>
    <t>Dönem</t>
  </si>
  <si>
    <t>1.05.2024</t>
  </si>
  <si>
    <t>TOPLAM FATURA TUTARI</t>
  </si>
  <si>
    <t>BR MT2 TUTARI</t>
  </si>
  <si>
    <t>GECİKME CEZASI FAİZ ORANI</t>
  </si>
  <si>
    <t>BLOK</t>
  </si>
  <si>
    <t>DAİRE</t>
  </si>
  <si>
    <r>
      <t>MT</t>
    </r>
    <r>
      <rPr>
        <b/>
        <sz val="14"/>
        <color theme="1"/>
        <rFont val="Arial Tur"/>
        <charset val="162"/>
      </rPr>
      <t>²</t>
    </r>
  </si>
  <si>
    <t>ÖDENECEK TUTAR</t>
  </si>
  <si>
    <t>MT²</t>
  </si>
  <si>
    <t>A-BLOK</t>
  </si>
  <si>
    <t>KREŞ</t>
  </si>
  <si>
    <t>B-BLOK</t>
  </si>
  <si>
    <t>DAİRE 01</t>
  </si>
  <si>
    <t>C-BLOK</t>
  </si>
  <si>
    <t>DÜKKAN 01</t>
  </si>
  <si>
    <t>DAİRE 33</t>
  </si>
  <si>
    <t>DAİRE 02</t>
  </si>
  <si>
    <t>DÜKKAN 02</t>
  </si>
  <si>
    <t>DAİRE 34</t>
  </si>
  <si>
    <t>DAİRE 03</t>
  </si>
  <si>
    <t>DÜKKAN 03</t>
  </si>
  <si>
    <t>DAİRE 35</t>
  </si>
  <si>
    <t>DAİRE 04</t>
  </si>
  <si>
    <t>DÜKKAN 04</t>
  </si>
  <si>
    <t>DAİRE 36</t>
  </si>
  <si>
    <t>DAİRE 05</t>
  </si>
  <si>
    <t>DAİRE 37</t>
  </si>
  <si>
    <t>DAİRE 06</t>
  </si>
  <si>
    <t>DAİRE 38</t>
  </si>
  <si>
    <t>DAİRE 07</t>
  </si>
  <si>
    <t>DAİRE 39</t>
  </si>
  <si>
    <t>DAİRE 08</t>
  </si>
  <si>
    <t>DAİRE 40</t>
  </si>
  <si>
    <t>DAİRE 09</t>
  </si>
  <si>
    <t>DAİRE 41</t>
  </si>
  <si>
    <t>DAİRE 10</t>
  </si>
  <si>
    <t>DAİRE 42</t>
  </si>
  <si>
    <t>DAİRE 11</t>
  </si>
  <si>
    <t>DAİRE 43</t>
  </si>
  <si>
    <t>DAİRE 12</t>
  </si>
  <si>
    <t>DAİRE 44</t>
  </si>
  <si>
    <t>DAİRE 13</t>
  </si>
  <si>
    <t>DAİRE 45</t>
  </si>
  <si>
    <t>DAİRE 14</t>
  </si>
  <si>
    <t>DAİRE 46</t>
  </si>
  <si>
    <t>DAİRE 15</t>
  </si>
  <si>
    <t>DAİRE 47</t>
  </si>
  <si>
    <t>DAİRE 16</t>
  </si>
  <si>
    <t>DAİRE 48</t>
  </si>
  <si>
    <t>DAİRE 17</t>
  </si>
  <si>
    <t>DAİRE 49</t>
  </si>
  <si>
    <t>DAİRE 18</t>
  </si>
  <si>
    <t>DAİRE 50</t>
  </si>
  <si>
    <t>DAİRE 19</t>
  </si>
  <si>
    <t>DAİRE 51</t>
  </si>
  <si>
    <t>DAİRE 20</t>
  </si>
  <si>
    <t>DAİRE 52</t>
  </si>
  <si>
    <t>DAİRE 21</t>
  </si>
  <si>
    <t>DAİRE 53</t>
  </si>
  <si>
    <t>DAİRE 22</t>
  </si>
  <si>
    <t>DAİRE 54</t>
  </si>
  <si>
    <t>DAİRE 23</t>
  </si>
  <si>
    <t>DAİRE 55</t>
  </si>
  <si>
    <t>DAİRE 24</t>
  </si>
  <si>
    <t>DAİRE 56</t>
  </si>
  <si>
    <t>DAİRE 25</t>
  </si>
  <si>
    <t>DAİRE 26</t>
  </si>
  <si>
    <t>DAİRE 27</t>
  </si>
  <si>
    <t>BLOKLAR TOPLAMI MT²</t>
  </si>
  <si>
    <t>DAİRE 28</t>
  </si>
  <si>
    <t>DAİRE 29</t>
  </si>
  <si>
    <t>DAİRE 30</t>
  </si>
  <si>
    <t>SON ÖDEME TARİHİ</t>
  </si>
  <si>
    <t>DAİRE 31</t>
  </si>
  <si>
    <t xml:space="preserve"> A BLOK TOPLAM MT2</t>
  </si>
  <si>
    <t>DAİRE 32</t>
  </si>
  <si>
    <t>SAĞLIKLI GÜNLER.</t>
  </si>
  <si>
    <t>KAPICI D.</t>
  </si>
  <si>
    <t xml:space="preserve"> C BLOK TOPLAM MT2</t>
  </si>
  <si>
    <t xml:space="preserve"> B BLOK TOPLAM MT2</t>
  </si>
  <si>
    <t>Son Ödeme Tarihi</t>
  </si>
  <si>
    <t>Fatura Tutarı</t>
  </si>
  <si>
    <t>Birim Fiyat</t>
  </si>
  <si>
    <t>Sütun1</t>
  </si>
  <si>
    <t>1.01.2024</t>
  </si>
  <si>
    <t>1.02.2024</t>
  </si>
  <si>
    <t>1.03.2024</t>
  </si>
  <si>
    <t>1.04.2024</t>
  </si>
  <si>
    <t>1.06.2024</t>
  </si>
  <si>
    <t>1.07.2024</t>
  </si>
  <si>
    <t>1.08.2024</t>
  </si>
  <si>
    <t>1.09.2024</t>
  </si>
  <si>
    <t>1.10.2024</t>
  </si>
  <si>
    <t>1.11.2024</t>
  </si>
  <si>
    <t>1.12.2024</t>
  </si>
  <si>
    <t>Toplam</t>
  </si>
  <si>
    <t>TC. KİMLİK NO</t>
  </si>
  <si>
    <t>AVANS YATIRMA DURUMU</t>
  </si>
  <si>
    <t>aidata yatırmış</t>
  </si>
  <si>
    <t>Sinan Ünsal</t>
  </si>
  <si>
    <t>Sinan Ural</t>
  </si>
  <si>
    <t>Özgür Bozkurt</t>
  </si>
  <si>
    <t xml:space="preserve">Numan Küçük </t>
  </si>
  <si>
    <t>Bülent Kermen</t>
  </si>
  <si>
    <t>Uğur Burak Meriç</t>
  </si>
  <si>
    <t>Soner Çağlayan</t>
  </si>
  <si>
    <t>Muhammet Ali Bulut</t>
  </si>
  <si>
    <t>Gamze Şengün</t>
  </si>
  <si>
    <t>Sude Karabulut</t>
  </si>
  <si>
    <t>Filiz Bora</t>
  </si>
  <si>
    <t>Kemal Aradan</t>
  </si>
  <si>
    <t>Nevin Köyatası</t>
  </si>
  <si>
    <t>Ümit Kula</t>
  </si>
  <si>
    <t>Hüsnü Sümer</t>
  </si>
  <si>
    <t>Emine Keçeci</t>
  </si>
  <si>
    <t>Mehmet Keçeci</t>
  </si>
  <si>
    <t>Necmi Çavdar</t>
  </si>
  <si>
    <t>Şerife Büyükgaga</t>
  </si>
  <si>
    <t>Hilal Kara Işık</t>
  </si>
  <si>
    <t>Kiraz Yüksel</t>
  </si>
  <si>
    <t>Hakan Yıldırım</t>
  </si>
  <si>
    <t>Özge Nur Türkeri</t>
  </si>
  <si>
    <t>Rıdvan sansar</t>
  </si>
  <si>
    <t>BERKCAN DEMİRDÖĞEN</t>
  </si>
  <si>
    <t>Murat Yıldırım</t>
  </si>
  <si>
    <t>Ahmet Aykut YILDIZ</t>
  </si>
  <si>
    <t>Nesimi yanar</t>
  </si>
  <si>
    <t xml:space="preserve">Murat Doğruyol </t>
  </si>
  <si>
    <t>Mehmet Saruhan</t>
  </si>
  <si>
    <t>Lütfiye Metin</t>
  </si>
  <si>
    <t>KAPICI DAİRESİ</t>
  </si>
  <si>
    <t>Temmuz</t>
  </si>
  <si>
    <t>Ağustos</t>
  </si>
  <si>
    <t>Eylül</t>
  </si>
  <si>
    <t>Semiha Tüzün</t>
  </si>
  <si>
    <r>
      <t xml:space="preserve">Semiha </t>
    </r>
    <r>
      <rPr>
        <sz val="11"/>
        <color theme="1"/>
        <rFont val="Calibri"/>
        <family val="2"/>
        <charset val="162"/>
        <scheme val="minor"/>
      </rPr>
      <t>Tüzün</t>
    </r>
  </si>
  <si>
    <t>*</t>
  </si>
  <si>
    <t>YAPILMADI</t>
  </si>
  <si>
    <t>YAPILDI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</si>
</sst>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&quot;₺&quot;* #,##0.00_-;\-&quot;₺&quot;* #,##0.00_-;_-&quot;₺&quot;* &quot;-&quot;??_-;_-@_-"/>
    <numFmt numFmtId="164" formatCode="[&lt;=9999999]###\-####;\(###\)\ ###\-####"/>
    <numFmt numFmtId="165" formatCode="_-&quot;₺&quot;* #,##0.0000_-;\-&quot;₺&quot;* #,##0.0000_-;_-&quot;₺&quot;* &quot;-&quot;??_-;_-@_-"/>
    <numFmt numFmtId="166" formatCode="&quot;₺&quot;#,##0.00"/>
    <numFmt numFmtId="167" formatCode="dd\ mmmm\ yyyy"/>
    <numFmt numFmtId="168" formatCode="mmmm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6"/>
      <color theme="1"/>
      <name val="Arial"/>
      <family val="2"/>
      <charset val="162"/>
    </font>
    <font>
      <b/>
      <sz val="16"/>
      <color theme="1"/>
      <name val="Arial"/>
      <family val="2"/>
      <charset val="162"/>
    </font>
    <font>
      <b/>
      <sz val="16"/>
      <name val="Arial"/>
      <family val="2"/>
      <charset val="162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sz val="16"/>
      <color theme="1"/>
      <name val="Calibri"/>
      <family val="2"/>
      <scheme val="minor"/>
    </font>
    <font>
      <b/>
      <sz val="16"/>
      <color rgb="FF00B050"/>
      <name val="Arial"/>
      <family val="2"/>
      <charset val="162"/>
    </font>
    <font>
      <b/>
      <sz val="32"/>
      <color theme="1"/>
      <name val="Calibri"/>
      <family val="2"/>
      <charset val="162"/>
      <scheme val="minor"/>
    </font>
    <font>
      <b/>
      <sz val="28"/>
      <color theme="1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  <font>
      <b/>
      <sz val="14"/>
      <color theme="1"/>
      <name val="Arial Tur"/>
      <charset val="162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b/>
      <sz val="26"/>
      <color theme="1"/>
      <name val="Calibri"/>
      <family val="2"/>
      <charset val="16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45">
    <xf numFmtId="0" fontId="0" fillId="0" borderId="0" xfId="0"/>
    <xf numFmtId="0" fontId="0" fillId="0" borderId="0" xfId="0" applyAlignment="1">
      <alignment horizontal="center" vertical="center"/>
    </xf>
    <xf numFmtId="44" fontId="3" fillId="2" borderId="0" xfId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49" fontId="6" fillId="9" borderId="2" xfId="0" applyNumberFormat="1" applyFont="1" applyFill="1" applyBorder="1" applyAlignment="1">
      <alignment horizontal="left" vertical="center"/>
    </xf>
    <xf numFmtId="164" fontId="6" fillId="7" borderId="4" xfId="1" applyNumberFormat="1" applyFont="1" applyFill="1" applyBorder="1" applyAlignment="1">
      <alignment horizontal="center" vertical="center"/>
    </xf>
    <xf numFmtId="49" fontId="6" fillId="10" borderId="2" xfId="0" applyNumberFormat="1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49" fontId="6" fillId="9" borderId="5" xfId="0" applyNumberFormat="1" applyFont="1" applyFill="1" applyBorder="1" applyAlignment="1">
      <alignment horizontal="left" vertical="center"/>
    </xf>
    <xf numFmtId="164" fontId="6" fillId="7" borderId="6" xfId="1" applyNumberFormat="1" applyFont="1" applyFill="1" applyBorder="1" applyAlignment="1">
      <alignment horizontal="center" vertical="center"/>
    </xf>
    <xf numFmtId="49" fontId="6" fillId="10" borderId="5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49" fontId="7" fillId="10" borderId="5" xfId="0" applyNumberFormat="1" applyFont="1" applyFill="1" applyBorder="1" applyAlignment="1">
      <alignment horizontal="left" vertical="center"/>
    </xf>
    <xf numFmtId="0" fontId="5" fillId="6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49" fontId="6" fillId="9" borderId="7" xfId="0" applyNumberFormat="1" applyFont="1" applyFill="1" applyBorder="1" applyAlignment="1">
      <alignment horizontal="left" vertical="center"/>
    </xf>
    <xf numFmtId="164" fontId="6" fillId="7" borderId="9" xfId="1" applyNumberFormat="1" applyFont="1" applyFill="1" applyBorder="1" applyAlignment="1">
      <alignment horizontal="center" vertical="center"/>
    </xf>
    <xf numFmtId="164" fontId="7" fillId="7" borderId="6" xfId="1" applyNumberFormat="1" applyFont="1" applyFill="1" applyBorder="1" applyAlignment="1">
      <alignment horizontal="center" vertical="center"/>
    </xf>
    <xf numFmtId="44" fontId="10" fillId="0" borderId="0" xfId="1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164" fontId="6" fillId="16" borderId="4" xfId="1" applyNumberFormat="1" applyFont="1" applyFill="1" applyBorder="1" applyAlignment="1">
      <alignment horizontal="center" vertical="center"/>
    </xf>
    <xf numFmtId="164" fontId="6" fillId="17" borderId="4" xfId="1" applyNumberFormat="1" applyFont="1" applyFill="1" applyBorder="1" applyAlignment="1">
      <alignment horizontal="center" vertical="center"/>
    </xf>
    <xf numFmtId="164" fontId="6" fillId="16" borderId="6" xfId="1" applyNumberFormat="1" applyFont="1" applyFill="1" applyBorder="1" applyAlignment="1">
      <alignment horizontal="center" vertical="center"/>
    </xf>
    <xf numFmtId="164" fontId="6" fillId="17" borderId="6" xfId="1" applyNumberFormat="1" applyFont="1" applyFill="1" applyBorder="1" applyAlignment="1">
      <alignment horizontal="center" vertical="center"/>
    </xf>
    <xf numFmtId="164" fontId="6" fillId="18" borderId="6" xfId="1" applyNumberFormat="1" applyFont="1" applyFill="1" applyBorder="1" applyAlignment="1">
      <alignment horizontal="center" vertical="center"/>
    </xf>
    <xf numFmtId="49" fontId="6" fillId="19" borderId="5" xfId="0" applyNumberFormat="1" applyFont="1" applyFill="1" applyBorder="1" applyAlignment="1">
      <alignment horizontal="left" vertical="center"/>
    </xf>
    <xf numFmtId="164" fontId="11" fillId="7" borderId="6" xfId="1" applyNumberFormat="1" applyFont="1" applyFill="1" applyBorder="1" applyAlignment="1">
      <alignment horizontal="center" vertical="center"/>
    </xf>
    <xf numFmtId="164" fontId="11" fillId="17" borderId="6" xfId="1" applyNumberFormat="1" applyFont="1" applyFill="1" applyBorder="1" applyAlignment="1">
      <alignment horizontal="center" vertical="center"/>
    </xf>
    <xf numFmtId="164" fontId="6" fillId="16" borderId="9" xfId="1" applyNumberFormat="1" applyFont="1" applyFill="1" applyBorder="1" applyAlignment="1">
      <alignment horizontal="center" vertical="center"/>
    </xf>
    <xf numFmtId="164" fontId="6" fillId="17" borderId="9" xfId="1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44" fontId="0" fillId="0" borderId="0" xfId="1" applyFont="1"/>
    <xf numFmtId="0" fontId="16" fillId="13" borderId="5" xfId="0" applyFont="1" applyFill="1" applyBorder="1"/>
    <xf numFmtId="0" fontId="16" fillId="13" borderId="1" xfId="0" applyFont="1" applyFill="1" applyBorder="1"/>
    <xf numFmtId="0" fontId="16" fillId="13" borderId="1" xfId="0" applyFont="1" applyFill="1" applyBorder="1" applyAlignment="1">
      <alignment horizontal="center"/>
    </xf>
    <xf numFmtId="0" fontId="16" fillId="12" borderId="5" xfId="0" applyFont="1" applyFill="1" applyBorder="1"/>
    <xf numFmtId="0" fontId="16" fillId="12" borderId="1" xfId="0" applyFont="1" applyFill="1" applyBorder="1"/>
    <xf numFmtId="0" fontId="16" fillId="12" borderId="1" xfId="0" applyFont="1" applyFill="1" applyBorder="1" applyAlignment="1">
      <alignment horizontal="center"/>
    </xf>
    <xf numFmtId="0" fontId="16" fillId="22" borderId="5" xfId="0" applyFont="1" applyFill="1" applyBorder="1"/>
    <xf numFmtId="0" fontId="16" fillId="22" borderId="1" xfId="0" applyFont="1" applyFill="1" applyBorder="1"/>
    <xf numFmtId="0" fontId="16" fillId="22" borderId="1" xfId="0" applyFont="1" applyFill="1" applyBorder="1" applyAlignment="1">
      <alignment horizontal="center"/>
    </xf>
    <xf numFmtId="0" fontId="16" fillId="0" borderId="0" xfId="0" applyFont="1"/>
    <xf numFmtId="166" fontId="6" fillId="7" borderId="19" xfId="1" applyNumberFormat="1" applyFont="1" applyFill="1" applyBorder="1" applyAlignment="1">
      <alignment horizontal="center" vertical="center"/>
    </xf>
    <xf numFmtId="14" fontId="0" fillId="0" borderId="0" xfId="0" applyNumberFormat="1"/>
    <xf numFmtId="166" fontId="0" fillId="0" borderId="0" xfId="0" applyNumberFormat="1"/>
    <xf numFmtId="0" fontId="22" fillId="4" borderId="0" xfId="0" applyFont="1" applyFill="1" applyAlignment="1">
      <alignment horizontal="center" vertical="center"/>
    </xf>
    <xf numFmtId="167" fontId="22" fillId="4" borderId="0" xfId="0" applyNumberFormat="1" applyFont="1" applyFill="1" applyAlignment="1">
      <alignment horizontal="center" vertical="center"/>
    </xf>
    <xf numFmtId="168" fontId="2" fillId="3" borderId="1" xfId="0" applyNumberFormat="1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166" fontId="23" fillId="0" borderId="1" xfId="0" applyNumberFormat="1" applyFont="1" applyBorder="1"/>
    <xf numFmtId="166" fontId="23" fillId="0" borderId="19" xfId="0" applyNumberFormat="1" applyFont="1" applyBorder="1"/>
    <xf numFmtId="0" fontId="22" fillId="8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166" fontId="24" fillId="3" borderId="1" xfId="0" applyNumberFormat="1" applyFont="1" applyFill="1" applyBorder="1" applyAlignment="1">
      <alignment horizontal="center" vertical="center"/>
    </xf>
    <xf numFmtId="166" fontId="26" fillId="5" borderId="1" xfId="0" applyNumberFormat="1" applyFont="1" applyFill="1" applyBorder="1"/>
    <xf numFmtId="14" fontId="16" fillId="26" borderId="0" xfId="0" applyNumberFormat="1" applyFont="1" applyFill="1"/>
    <xf numFmtId="14" fontId="0" fillId="0" borderId="0" xfId="0" applyNumberFormat="1" applyAlignment="1">
      <alignment horizontal="center"/>
    </xf>
    <xf numFmtId="166" fontId="3" fillId="25" borderId="1" xfId="0" applyNumberFormat="1" applyFont="1" applyFill="1" applyBorder="1"/>
    <xf numFmtId="0" fontId="27" fillId="0" borderId="0" xfId="0" applyFont="1"/>
    <xf numFmtId="0" fontId="6" fillId="10" borderId="5" xfId="0" applyFont="1" applyFill="1" applyBorder="1" applyAlignment="1">
      <alignment horizontal="left" vertical="center"/>
    </xf>
    <xf numFmtId="0" fontId="7" fillId="10" borderId="5" xfId="0" applyFont="1" applyFill="1" applyBorder="1" applyAlignment="1">
      <alignment horizontal="left" vertical="center"/>
    </xf>
    <xf numFmtId="166" fontId="3" fillId="20" borderId="6" xfId="0" applyNumberFormat="1" applyFont="1" applyFill="1" applyBorder="1" applyAlignment="1">
      <alignment horizontal="center" vertical="center"/>
    </xf>
    <xf numFmtId="166" fontId="3" fillId="21" borderId="6" xfId="0" applyNumberFormat="1" applyFont="1" applyFill="1" applyBorder="1" applyAlignment="1">
      <alignment horizontal="center" vertical="center"/>
    </xf>
    <xf numFmtId="44" fontId="14" fillId="9" borderId="25" xfId="1" applyFont="1" applyFill="1" applyBorder="1" applyAlignment="1">
      <alignment horizontal="center" vertical="center"/>
    </xf>
    <xf numFmtId="165" fontId="14" fillId="14" borderId="25" xfId="0" applyNumberFormat="1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66" fontId="3" fillId="23" borderId="6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  <xf numFmtId="166" fontId="23" fillId="0" borderId="1" xfId="0" applyNumberFormat="1" applyFont="1" applyFill="1" applyBorder="1"/>
    <xf numFmtId="166" fontId="23" fillId="0" borderId="19" xfId="0" applyNumberFormat="1" applyFont="1" applyFill="1" applyBorder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Fill="1" applyBorder="1"/>
    <xf numFmtId="168" fontId="25" fillId="3" borderId="19" xfId="0" applyNumberFormat="1" applyFont="1" applyFill="1" applyBorder="1" applyAlignment="1">
      <alignment horizontal="center" vertical="center"/>
    </xf>
    <xf numFmtId="168" fontId="25" fillId="3" borderId="21" xfId="0" applyNumberFormat="1" applyFont="1" applyFill="1" applyBorder="1" applyAlignment="1">
      <alignment horizontal="center" vertical="center"/>
    </xf>
    <xf numFmtId="0" fontId="22" fillId="9" borderId="20" xfId="0" applyFont="1" applyFill="1" applyBorder="1" applyAlignment="1">
      <alignment horizontal="center" vertical="center"/>
    </xf>
    <xf numFmtId="0" fontId="22" fillId="24" borderId="20" xfId="0" applyFont="1" applyFill="1" applyBorder="1" applyAlignment="1">
      <alignment horizontal="center" vertical="center"/>
    </xf>
    <xf numFmtId="0" fontId="22" fillId="25" borderId="20" xfId="0" applyFont="1" applyFill="1" applyBorder="1" applyAlignment="1">
      <alignment horizontal="center" vertical="center"/>
    </xf>
    <xf numFmtId="0" fontId="22" fillId="25" borderId="21" xfId="0" applyFont="1" applyFill="1" applyBorder="1" applyAlignment="1">
      <alignment horizontal="center" vertical="center"/>
    </xf>
    <xf numFmtId="168" fontId="25" fillId="3" borderId="20" xfId="0" applyNumberFormat="1" applyFont="1" applyFill="1" applyBorder="1" applyAlignment="1">
      <alignment horizontal="center" vertical="center"/>
    </xf>
    <xf numFmtId="0" fontId="19" fillId="15" borderId="5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19" fillId="15" borderId="6" xfId="0" applyFont="1" applyFill="1" applyBorder="1" applyAlignment="1">
      <alignment horizontal="center" vertical="center"/>
    </xf>
    <xf numFmtId="0" fontId="19" fillId="15" borderId="7" xfId="0" applyFont="1" applyFill="1" applyBorder="1" applyAlignment="1">
      <alignment horizontal="center" vertical="center"/>
    </xf>
    <xf numFmtId="0" fontId="19" fillId="15" borderId="8" xfId="0" applyFont="1" applyFill="1" applyBorder="1" applyAlignment="1">
      <alignment horizontal="center" vertical="center"/>
    </xf>
    <xf numFmtId="0" fontId="19" fillId="15" borderId="9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2" borderId="6" xfId="0" applyFont="1" applyFill="1" applyBorder="1" applyAlignment="1">
      <alignment horizontal="center"/>
    </xf>
    <xf numFmtId="0" fontId="20" fillId="2" borderId="7" xfId="0" applyFont="1" applyFill="1" applyBorder="1" applyAlignment="1">
      <alignment horizontal="center"/>
    </xf>
    <xf numFmtId="0" fontId="20" fillId="2" borderId="8" xfId="0" applyFont="1" applyFill="1" applyBorder="1" applyAlignment="1">
      <alignment horizontal="center"/>
    </xf>
    <xf numFmtId="0" fontId="20" fillId="2" borderId="9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/>
    </xf>
    <xf numFmtId="0" fontId="13" fillId="3" borderId="14" xfId="0" applyFont="1" applyFill="1" applyBorder="1" applyAlignment="1">
      <alignment horizontal="center"/>
    </xf>
    <xf numFmtId="0" fontId="13" fillId="3" borderId="15" xfId="0" applyFont="1" applyFill="1" applyBorder="1" applyAlignment="1">
      <alignment horizontal="center"/>
    </xf>
    <xf numFmtId="0" fontId="14" fillId="15" borderId="24" xfId="0" applyFont="1" applyFill="1" applyBorder="1" applyAlignment="1">
      <alignment horizontal="center" vertical="center" wrapText="1"/>
    </xf>
    <xf numFmtId="0" fontId="14" fillId="15" borderId="25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/>
    </xf>
    <xf numFmtId="0" fontId="14" fillId="15" borderId="25" xfId="0" applyFont="1" applyFill="1" applyBorder="1" applyAlignment="1">
      <alignment horizontal="left" vertical="center"/>
    </xf>
    <xf numFmtId="0" fontId="14" fillId="15" borderId="25" xfId="0" applyFont="1" applyFill="1" applyBorder="1" applyAlignment="1">
      <alignment horizontal="center" vertical="center"/>
    </xf>
    <xf numFmtId="9" fontId="14" fillId="18" borderId="28" xfId="0" applyNumberFormat="1" applyFont="1" applyFill="1" applyBorder="1" applyAlignment="1">
      <alignment horizontal="center" vertical="center"/>
    </xf>
    <xf numFmtId="9" fontId="14" fillId="18" borderId="15" xfId="0" applyNumberFormat="1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/>
    </xf>
    <xf numFmtId="0" fontId="16" fillId="2" borderId="8" xfId="0" applyFont="1" applyFill="1" applyBorder="1" applyAlignment="1">
      <alignment horizontal="center"/>
    </xf>
    <xf numFmtId="0" fontId="16" fillId="2" borderId="9" xfId="0" applyFont="1" applyFill="1" applyBorder="1" applyAlignment="1">
      <alignment horizontal="center"/>
    </xf>
    <xf numFmtId="0" fontId="17" fillId="5" borderId="5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/>
    </xf>
    <xf numFmtId="0" fontId="18" fillId="15" borderId="5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/>
    </xf>
    <xf numFmtId="0" fontId="18" fillId="15" borderId="6" xfId="0" applyFont="1" applyFill="1" applyBorder="1" applyAlignment="1">
      <alignment horizontal="center" vertical="center"/>
    </xf>
    <xf numFmtId="14" fontId="18" fillId="18" borderId="5" xfId="0" applyNumberFormat="1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18" fillId="18" borderId="6" xfId="0" applyFont="1" applyFill="1" applyBorder="1" applyAlignment="1">
      <alignment horizontal="center" vertical="center"/>
    </xf>
    <xf numFmtId="0" fontId="16" fillId="15" borderId="16" xfId="0" applyFont="1" applyFill="1" applyBorder="1" applyAlignment="1">
      <alignment horizontal="center"/>
    </xf>
    <xf numFmtId="0" fontId="16" fillId="15" borderId="17" xfId="0" applyFont="1" applyFill="1" applyBorder="1" applyAlignment="1">
      <alignment horizontal="center"/>
    </xf>
    <xf numFmtId="0" fontId="16" fillId="15" borderId="18" xfId="0" applyFont="1" applyFill="1" applyBorder="1" applyAlignment="1">
      <alignment horizontal="center"/>
    </xf>
    <xf numFmtId="0" fontId="16" fillId="15" borderId="26" xfId="0" applyFont="1" applyFill="1" applyBorder="1" applyAlignment="1">
      <alignment horizontal="center"/>
    </xf>
    <xf numFmtId="0" fontId="16" fillId="15" borderId="23" xfId="0" applyFont="1" applyFill="1" applyBorder="1" applyAlignment="1">
      <alignment horizontal="center"/>
    </xf>
    <xf numFmtId="0" fontId="16" fillId="15" borderId="27" xfId="0" applyFont="1" applyFill="1" applyBorder="1" applyAlignment="1">
      <alignment horizontal="center"/>
    </xf>
    <xf numFmtId="0" fontId="26" fillId="5" borderId="10" xfId="0" applyFont="1" applyFill="1" applyBorder="1" applyAlignment="1">
      <alignment horizontal="center"/>
    </xf>
    <xf numFmtId="0" fontId="26" fillId="5" borderId="23" xfId="0" applyFont="1" applyFill="1" applyBorder="1" applyAlignment="1">
      <alignment horizontal="center"/>
    </xf>
    <xf numFmtId="0" fontId="26" fillId="5" borderId="11" xfId="0" applyFont="1" applyFill="1" applyBorder="1" applyAlignment="1">
      <alignment horizontal="center"/>
    </xf>
    <xf numFmtId="0" fontId="16" fillId="26" borderId="20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6" fillId="10" borderId="2" xfId="0" applyNumberFormat="1" applyFont="1" applyFill="1" applyBorder="1" applyAlignment="1">
      <alignment horizontal="center" vertical="center"/>
    </xf>
    <xf numFmtId="49" fontId="6" fillId="10" borderId="5" xfId="0" applyNumberFormat="1" applyFont="1" applyFill="1" applyBorder="1" applyAlignment="1">
      <alignment horizontal="center" vertical="center"/>
    </xf>
    <xf numFmtId="49" fontId="7" fillId="10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ParaBirimi" xfId="1" builtinId="4"/>
  </cellStyles>
  <dxfs count="28">
    <dxf>
      <fill>
        <patternFill>
          <bgColor rgb="FFC0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numFmt numFmtId="166" formatCode="&quot;₺&quot;#,##0.00"/>
    </dxf>
    <dxf>
      <numFmt numFmtId="166" formatCode="&quot;₺&quot;#,##0.00"/>
    </dxf>
    <dxf>
      <numFmt numFmtId="166" formatCode="&quot;₺&quot;#,##0.00"/>
    </dxf>
    <dxf>
      <numFmt numFmtId="166" formatCode="&quot;₺&quot;#,##0.00"/>
    </dxf>
    <dxf>
      <numFmt numFmtId="166" formatCode="&quot;₺&quot;#,##0.00"/>
    </dxf>
    <dxf>
      <numFmt numFmtId="166" formatCode="&quot;₺&quot;#,##0.00"/>
    </dxf>
    <dxf>
      <numFmt numFmtId="166" formatCode="&quot;₺&quot;#,##0.00"/>
    </dxf>
    <dxf>
      <numFmt numFmtId="166" formatCode="&quot;₺&quot;#,##0.00"/>
    </dxf>
    <dxf>
      <numFmt numFmtId="166" formatCode="&quot;₺&quot;#,##0.00"/>
    </dxf>
    <dxf>
      <numFmt numFmtId="166" formatCode="&quot;₺&quot;#,##0.00"/>
    </dxf>
    <dxf>
      <numFmt numFmtId="166" formatCode="&quot;₺&quot;#,##0.00"/>
    </dxf>
    <dxf>
      <numFmt numFmtId="166" formatCode="&quot;₺&quot;#,##0.00"/>
    </dxf>
    <dxf>
      <numFmt numFmtId="166" formatCode="&quot;₺&quot;#,##0.00"/>
    </dxf>
    <dxf>
      <numFmt numFmtId="166" formatCode="&quot;₺&quot;#,##0.00"/>
    </dxf>
    <dxf>
      <numFmt numFmtId="166" formatCode="&quot;₺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571500</xdr:colOff>
      <xdr:row>0</xdr:row>
      <xdr:rowOff>13607</xdr:rowOff>
    </xdr:from>
    <xdr:to>
      <xdr:col>15</xdr:col>
      <xdr:colOff>1468483</xdr:colOff>
      <xdr:row>1</xdr:row>
      <xdr:rowOff>432924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8C6F3378-3BF9-4CD5-8BE5-4AAF436A6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96900" y="13607"/>
          <a:ext cx="3297283" cy="180044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id="1" name="Tablo1" displayName="Tablo1" ref="A5:P126" totalsRowCount="1">
  <autoFilter ref="A5:P125"/>
  <tableColumns count="16">
    <tableColumn id="36" name="Sütun1" dataDxfId="27">
      <calculatedColumnFormula>CONCATENATE(Tablo1[[#This Row],[BLOK]]," ",Tablo1[[#This Row],[DAİRE]])</calculatedColumnFormula>
    </tableColumn>
    <tableColumn id="1" name="BLOK" totalsRowLabel="Toplam"/>
    <tableColumn id="2" name="DAİRE"/>
    <tableColumn id="3" name="MT²"/>
    <tableColumn id="4" name="1.01.2024" totalsRowFunction="sum" dataDxfId="26" totalsRowDxfId="25">
      <calculatedColumnFormula>ROUNDUP(E$4*$D6,1)</calculatedColumnFormula>
    </tableColumn>
    <tableColumn id="5" name="1.02.2024" totalsRowFunction="sum" totalsRowDxfId="24">
      <calculatedColumnFormula>ROUNDUP(F$4*$D6,1)</calculatedColumnFormula>
    </tableColumn>
    <tableColumn id="6" name="1.03.2024" totalsRowFunction="sum" dataDxfId="23" totalsRowDxfId="22">
      <calculatedColumnFormula>ROUNDUP(G$4*$D6,1)</calculatedColumnFormula>
    </tableColumn>
    <tableColumn id="7" name="1.04.2024" totalsRowFunction="sum" dataDxfId="21" totalsRowDxfId="20">
      <calculatedColumnFormula>ROUNDUP(H$4*$D6,1)</calculatedColumnFormula>
    </tableColumn>
    <tableColumn id="8" name="1.05.2024" totalsRowFunction="sum" totalsRowDxfId="19">
      <calculatedColumnFormula>ROUNDUP(I$4*$D6,1)</calculatedColumnFormula>
    </tableColumn>
    <tableColumn id="9" name="1.06.2024" totalsRowFunction="sum" totalsRowDxfId="18">
      <calculatedColumnFormula>ROUNDUP(J$4*$D6,1)</calculatedColumnFormula>
    </tableColumn>
    <tableColumn id="10" name="1.07.2024" totalsRowFunction="sum" totalsRowDxfId="17">
      <calculatedColumnFormula>ROUNDUP(K$4*$D6,1)</calculatedColumnFormula>
    </tableColumn>
    <tableColumn id="11" name="1.08.2024" totalsRowFunction="sum" totalsRowDxfId="16">
      <calculatedColumnFormula>ROUNDUP(L$4*$D6,1)</calculatedColumnFormula>
    </tableColumn>
    <tableColumn id="12" name="1.09.2024" totalsRowFunction="sum" totalsRowDxfId="15">
      <calculatedColumnFormula>ROUNDUP(M$4*$D6,1)</calculatedColumnFormula>
    </tableColumn>
    <tableColumn id="13" name="1.10.2024" totalsRowFunction="sum" totalsRowDxfId="14">
      <calculatedColumnFormula>ROUNDUP(N$4*$D6,1)</calculatedColumnFormula>
    </tableColumn>
    <tableColumn id="14" name="1.11.2024" totalsRowFunction="sum" totalsRowDxfId="13">
      <calculatedColumnFormula>ROUNDUP(O$4*$D6,1)</calculatedColumnFormula>
    </tableColumn>
    <tableColumn id="15" name="1.12.2024" totalsRowFunction="sum" totalsRowDxfId="12">
      <calculatedColumnFormula>ROUNDUP(P$4*$D6,1)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96" dT="2024-06-03T18:49:12.22" personId="{00000000-0000-0000-0000-000000000000}" id="{BA5DFEF0-59E8-4E6D-B9CC-DD69F33E576A}">
    <text>CEZALI 2 AYLIK YATIRILDI</text>
  </threadedComment>
  <threadedComment ref="Q104" dT="2024-06-03T19:23:54.68" personId="{00000000-0000-0000-0000-000000000000}" id="{EE688B31-77D4-41D1-BD35-DE424311E959}">
    <text>CEZALI ÖDEME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8"/>
  <sheetViews>
    <sheetView zoomScale="70" zoomScaleNormal="70" workbookViewId="0">
      <selection activeCell="G9" sqref="G9"/>
    </sheetView>
  </sheetViews>
  <sheetFormatPr defaultRowHeight="15" x14ac:dyDescent="0.25"/>
  <cols>
    <col min="1" max="1" width="6.85546875" bestFit="1" customWidth="1"/>
    <col min="2" max="2" width="6.85546875" hidden="1" customWidth="1"/>
    <col min="3" max="3" width="7.7109375" bestFit="1" customWidth="1"/>
    <col min="4" max="4" width="11.28515625" bestFit="1" customWidth="1"/>
    <col min="5" max="5" width="12" bestFit="1" customWidth="1"/>
    <col min="6" max="6" width="6.42578125" bestFit="1" customWidth="1"/>
    <col min="7" max="7" width="78.7109375" bestFit="1" customWidth="1"/>
    <col min="8" max="8" width="22.7109375" bestFit="1" customWidth="1"/>
    <col min="9" max="9" width="59.28515625" bestFit="1" customWidth="1"/>
    <col min="10" max="10" width="22.7109375" bestFit="1" customWidth="1"/>
    <col min="11" max="11" width="18.5703125" bestFit="1" customWidth="1"/>
    <col min="12" max="17" width="11.42578125" customWidth="1"/>
    <col min="18" max="18" width="15.7109375" customWidth="1"/>
    <col min="19" max="19" width="23" customWidth="1"/>
  </cols>
  <sheetData>
    <row r="1" spans="1:19" s="61" customFormat="1" ht="26.25" x14ac:dyDescent="0.25">
      <c r="A1" s="89" t="s">
        <v>0</v>
      </c>
      <c r="B1" s="89"/>
      <c r="C1" s="89"/>
      <c r="D1" s="89"/>
      <c r="E1" s="89"/>
      <c r="F1" s="89"/>
      <c r="G1" s="60" t="s">
        <v>1</v>
      </c>
      <c r="H1" s="90" t="s">
        <v>2</v>
      </c>
      <c r="I1" s="90"/>
      <c r="J1" s="91" t="s">
        <v>3</v>
      </c>
      <c r="K1" s="92"/>
      <c r="L1" s="87" t="s">
        <v>220</v>
      </c>
      <c r="M1" s="88"/>
      <c r="N1" s="87" t="s">
        <v>221</v>
      </c>
      <c r="O1" s="88"/>
      <c r="P1" s="87" t="s">
        <v>222</v>
      </c>
      <c r="Q1" s="88"/>
      <c r="R1" s="87" t="s">
        <v>4</v>
      </c>
      <c r="S1" s="88"/>
    </row>
    <row r="2" spans="1:19" ht="18.75" thickBot="1" x14ac:dyDescent="0.3">
      <c r="A2" s="62" t="s">
        <v>5</v>
      </c>
      <c r="B2" s="62"/>
      <c r="C2" s="62" t="s">
        <v>6</v>
      </c>
      <c r="D2" s="62" t="s">
        <v>7</v>
      </c>
      <c r="E2" s="62" t="s">
        <v>8</v>
      </c>
      <c r="F2" s="62" t="s">
        <v>9</v>
      </c>
      <c r="G2" s="62" t="s">
        <v>10</v>
      </c>
      <c r="H2" s="62" t="s">
        <v>11</v>
      </c>
      <c r="I2" s="62" t="s">
        <v>12</v>
      </c>
      <c r="J2" s="62" t="s">
        <v>11</v>
      </c>
      <c r="K2" s="63" t="s">
        <v>13</v>
      </c>
      <c r="L2" s="55" t="s">
        <v>14</v>
      </c>
      <c r="M2" s="55" t="s">
        <v>15</v>
      </c>
      <c r="N2" s="55" t="s">
        <v>14</v>
      </c>
      <c r="O2" s="55" t="s">
        <v>15</v>
      </c>
      <c r="P2" s="55" t="s">
        <v>14</v>
      </c>
      <c r="Q2" s="55" t="s">
        <v>15</v>
      </c>
      <c r="R2" s="55" t="s">
        <v>14</v>
      </c>
      <c r="S2" s="55" t="s">
        <v>15</v>
      </c>
    </row>
    <row r="3" spans="1:19" ht="20.25" x14ac:dyDescent="0.25">
      <c r="A3" s="3">
        <v>1</v>
      </c>
      <c r="B3" s="56" t="s">
        <v>16</v>
      </c>
      <c r="C3" s="4" t="s">
        <v>17</v>
      </c>
      <c r="D3" s="4">
        <v>1</v>
      </c>
      <c r="E3" s="4"/>
      <c r="F3" s="5"/>
      <c r="G3" s="85" t="s">
        <v>188</v>
      </c>
      <c r="H3" s="7"/>
      <c r="I3" s="8"/>
      <c r="J3" s="7"/>
      <c r="K3" s="50">
        <v>10000</v>
      </c>
      <c r="L3" s="82">
        <v>4000</v>
      </c>
      <c r="M3" s="83"/>
      <c r="N3" s="82">
        <v>3000</v>
      </c>
      <c r="O3" s="83"/>
      <c r="P3" s="82">
        <v>3000</v>
      </c>
      <c r="Q3" s="83"/>
      <c r="R3" s="82">
        <v>10000</v>
      </c>
      <c r="S3" s="83">
        <f>SUM(M3,O3,Q3)</f>
        <v>0</v>
      </c>
    </row>
    <row r="4" spans="1:19" ht="20.25" x14ac:dyDescent="0.25">
      <c r="A4" s="9">
        <v>2</v>
      </c>
      <c r="B4" s="57" t="s">
        <v>19</v>
      </c>
      <c r="C4" s="10" t="s">
        <v>17</v>
      </c>
      <c r="D4" s="10">
        <v>2</v>
      </c>
      <c r="E4" s="10"/>
      <c r="F4" s="11"/>
      <c r="G4" t="s">
        <v>211</v>
      </c>
      <c r="H4" s="13"/>
      <c r="I4" s="69"/>
      <c r="J4" s="13"/>
      <c r="K4" s="50">
        <v>10000</v>
      </c>
      <c r="L4" s="82">
        <v>4000</v>
      </c>
      <c r="M4" s="83">
        <v>4000</v>
      </c>
      <c r="N4" s="82">
        <v>3000</v>
      </c>
      <c r="O4" s="83"/>
      <c r="P4" s="82">
        <v>3000</v>
      </c>
      <c r="Q4" s="83"/>
      <c r="R4" s="82">
        <v>10000</v>
      </c>
      <c r="S4" s="83">
        <f t="shared" ref="S4:S66" si="0">SUM(M4,O4,Q4)</f>
        <v>4000</v>
      </c>
    </row>
    <row r="5" spans="1:19" ht="20.25" x14ac:dyDescent="0.25">
      <c r="A5" s="9">
        <v>3</v>
      </c>
      <c r="B5" s="57" t="s">
        <v>21</v>
      </c>
      <c r="C5" s="10" t="s">
        <v>17</v>
      </c>
      <c r="D5" s="10">
        <v>3</v>
      </c>
      <c r="E5" s="10"/>
      <c r="F5" s="11"/>
      <c r="G5" s="85" t="s">
        <v>188</v>
      </c>
      <c r="H5" s="13"/>
      <c r="I5" s="69"/>
      <c r="J5" s="13"/>
      <c r="K5" s="50">
        <v>10000</v>
      </c>
      <c r="L5" s="82">
        <v>4000</v>
      </c>
      <c r="M5" s="83"/>
      <c r="N5" s="82">
        <v>3000</v>
      </c>
      <c r="O5" s="83"/>
      <c r="P5" s="82">
        <v>3000</v>
      </c>
      <c r="Q5" s="83"/>
      <c r="R5" s="82">
        <v>10000</v>
      </c>
      <c r="S5" s="83">
        <f t="shared" si="0"/>
        <v>0</v>
      </c>
    </row>
    <row r="6" spans="1:19" ht="20.25" x14ac:dyDescent="0.25">
      <c r="A6" s="9">
        <v>4</v>
      </c>
      <c r="B6" s="57" t="s">
        <v>23</v>
      </c>
      <c r="C6" s="10" t="s">
        <v>17</v>
      </c>
      <c r="D6" s="10">
        <v>4</v>
      </c>
      <c r="E6" s="10"/>
      <c r="F6" s="11"/>
      <c r="G6" t="s">
        <v>212</v>
      </c>
      <c r="H6" s="13"/>
      <c r="I6" s="69"/>
      <c r="J6" s="13"/>
      <c r="K6" s="50">
        <v>10000</v>
      </c>
      <c r="L6" s="82">
        <v>4000</v>
      </c>
      <c r="M6" s="83">
        <v>4000</v>
      </c>
      <c r="N6" s="82">
        <v>3000</v>
      </c>
      <c r="O6" s="83"/>
      <c r="P6" s="82">
        <v>3000</v>
      </c>
      <c r="Q6" s="83"/>
      <c r="R6" s="82">
        <v>10000</v>
      </c>
      <c r="S6" s="83">
        <f t="shared" si="0"/>
        <v>4000</v>
      </c>
    </row>
    <row r="7" spans="1:19" ht="20.25" x14ac:dyDescent="0.25">
      <c r="A7" s="9">
        <v>5</v>
      </c>
      <c r="B7" s="57" t="s">
        <v>25</v>
      </c>
      <c r="C7" s="10" t="s">
        <v>17</v>
      </c>
      <c r="D7" s="10">
        <v>5</v>
      </c>
      <c r="E7" s="10"/>
      <c r="F7" s="11"/>
      <c r="G7" s="85" t="s">
        <v>188</v>
      </c>
      <c r="H7" s="13"/>
      <c r="I7" s="69"/>
      <c r="J7" s="13"/>
      <c r="K7" s="50">
        <v>10000</v>
      </c>
      <c r="L7" s="82">
        <v>4000</v>
      </c>
      <c r="M7" s="83"/>
      <c r="N7" s="82">
        <v>3000</v>
      </c>
      <c r="O7" s="83"/>
      <c r="P7" s="82">
        <v>3000</v>
      </c>
      <c r="Q7" s="83"/>
      <c r="R7" s="82">
        <v>10000</v>
      </c>
      <c r="S7" s="83">
        <f t="shared" si="0"/>
        <v>0</v>
      </c>
    </row>
    <row r="8" spans="1:19" ht="20.25" x14ac:dyDescent="0.25">
      <c r="A8" s="9">
        <v>6</v>
      </c>
      <c r="B8" s="57" t="s">
        <v>26</v>
      </c>
      <c r="C8" s="10" t="s">
        <v>17</v>
      </c>
      <c r="D8" s="10">
        <v>6</v>
      </c>
      <c r="E8" s="10"/>
      <c r="F8" s="11"/>
      <c r="G8" s="85" t="s">
        <v>188</v>
      </c>
      <c r="H8" s="13"/>
      <c r="I8" s="69"/>
      <c r="J8" s="13"/>
      <c r="K8" s="50">
        <v>10000</v>
      </c>
      <c r="L8" s="82">
        <v>4000</v>
      </c>
      <c r="M8" s="83"/>
      <c r="N8" s="82">
        <v>3000</v>
      </c>
      <c r="O8" s="83"/>
      <c r="P8" s="82">
        <v>3000</v>
      </c>
      <c r="Q8" s="83"/>
      <c r="R8" s="82">
        <v>10000</v>
      </c>
      <c r="S8" s="83">
        <f t="shared" si="0"/>
        <v>0</v>
      </c>
    </row>
    <row r="9" spans="1:19" ht="20.25" x14ac:dyDescent="0.25">
      <c r="A9" s="9">
        <v>7</v>
      </c>
      <c r="B9" s="57" t="s">
        <v>27</v>
      </c>
      <c r="C9" s="10" t="s">
        <v>17</v>
      </c>
      <c r="D9" s="10">
        <v>7</v>
      </c>
      <c r="E9" s="10"/>
      <c r="F9" s="11"/>
      <c r="G9" s="86" t="s">
        <v>189</v>
      </c>
      <c r="H9" s="13"/>
      <c r="I9" s="69"/>
      <c r="J9" s="13"/>
      <c r="K9" s="50">
        <v>10000</v>
      </c>
      <c r="L9" s="82">
        <v>4000</v>
      </c>
      <c r="M9" s="83"/>
      <c r="N9" s="82">
        <v>3000</v>
      </c>
      <c r="O9" s="83"/>
      <c r="P9" s="82">
        <v>3000</v>
      </c>
      <c r="Q9" s="83"/>
      <c r="R9" s="82">
        <v>10000</v>
      </c>
      <c r="S9" s="83">
        <f t="shared" si="0"/>
        <v>0</v>
      </c>
    </row>
    <row r="10" spans="1:19" ht="20.25" x14ac:dyDescent="0.25">
      <c r="A10" s="9">
        <v>8</v>
      </c>
      <c r="B10" s="57" t="s">
        <v>28</v>
      </c>
      <c r="C10" s="10" t="s">
        <v>17</v>
      </c>
      <c r="D10" s="10">
        <v>8</v>
      </c>
      <c r="E10" s="10"/>
      <c r="F10" s="11"/>
      <c r="G10" t="s">
        <v>190</v>
      </c>
      <c r="H10" s="13"/>
      <c r="I10" s="69"/>
      <c r="J10" s="13"/>
      <c r="K10" s="50">
        <v>10000</v>
      </c>
      <c r="L10" s="82">
        <v>4000</v>
      </c>
      <c r="M10" s="83"/>
      <c r="N10" s="82">
        <v>3000</v>
      </c>
      <c r="O10" s="83"/>
      <c r="P10" s="82">
        <v>3000</v>
      </c>
      <c r="Q10" s="83"/>
      <c r="R10" s="82">
        <v>10000</v>
      </c>
      <c r="S10" s="83">
        <f t="shared" si="0"/>
        <v>0</v>
      </c>
    </row>
    <row r="11" spans="1:19" ht="20.25" x14ac:dyDescent="0.25">
      <c r="A11" s="9">
        <v>9</v>
      </c>
      <c r="B11" s="57" t="s">
        <v>29</v>
      </c>
      <c r="C11" s="10" t="s">
        <v>17</v>
      </c>
      <c r="D11" s="10">
        <v>9</v>
      </c>
      <c r="E11" s="10"/>
      <c r="F11" s="11"/>
      <c r="G11" s="85" t="s">
        <v>191</v>
      </c>
      <c r="H11" s="13"/>
      <c r="I11" s="69"/>
      <c r="J11" s="13"/>
      <c r="K11" s="50">
        <v>10000</v>
      </c>
      <c r="L11" s="82">
        <v>4000</v>
      </c>
      <c r="M11" s="83"/>
      <c r="N11" s="82">
        <v>3000</v>
      </c>
      <c r="O11" s="83"/>
      <c r="P11" s="82">
        <v>3000</v>
      </c>
      <c r="Q11" s="83"/>
      <c r="R11" s="82">
        <v>10000</v>
      </c>
      <c r="S11" s="83">
        <f t="shared" si="0"/>
        <v>0</v>
      </c>
    </row>
    <row r="12" spans="1:19" ht="20.25" x14ac:dyDescent="0.25">
      <c r="A12" s="9">
        <v>10</v>
      </c>
      <c r="B12" s="57" t="s">
        <v>30</v>
      </c>
      <c r="C12" s="10" t="s">
        <v>17</v>
      </c>
      <c r="D12" s="10">
        <v>10</v>
      </c>
      <c r="E12" s="10"/>
      <c r="F12" s="11"/>
      <c r="G12" t="s">
        <v>213</v>
      </c>
      <c r="H12" s="13"/>
      <c r="I12" s="69"/>
      <c r="J12" s="13"/>
      <c r="K12" s="50">
        <v>10000</v>
      </c>
      <c r="L12" s="82">
        <v>4000</v>
      </c>
      <c r="M12" s="83"/>
      <c r="N12" s="82">
        <v>3000</v>
      </c>
      <c r="O12" s="83"/>
      <c r="P12" s="82">
        <v>3000</v>
      </c>
      <c r="Q12" s="83"/>
      <c r="R12" s="82">
        <v>10000</v>
      </c>
      <c r="S12" s="83">
        <f t="shared" si="0"/>
        <v>0</v>
      </c>
    </row>
    <row r="13" spans="1:19" ht="20.25" x14ac:dyDescent="0.25">
      <c r="A13" s="9">
        <v>11</v>
      </c>
      <c r="B13" s="57" t="s">
        <v>31</v>
      </c>
      <c r="C13" s="10" t="s">
        <v>17</v>
      </c>
      <c r="D13" s="10">
        <v>11</v>
      </c>
      <c r="E13" s="10"/>
      <c r="F13" s="11"/>
      <c r="G13" t="s">
        <v>192</v>
      </c>
      <c r="H13" s="13"/>
      <c r="I13" s="69"/>
      <c r="J13" s="13"/>
      <c r="K13" s="50">
        <v>10000</v>
      </c>
      <c r="L13" s="82">
        <v>4000</v>
      </c>
      <c r="M13" s="83">
        <v>4000</v>
      </c>
      <c r="N13" s="82">
        <v>3000</v>
      </c>
      <c r="O13" s="83"/>
      <c r="P13" s="82">
        <v>3000</v>
      </c>
      <c r="Q13" s="83"/>
      <c r="R13" s="82">
        <v>10000</v>
      </c>
      <c r="S13" s="83">
        <f t="shared" si="0"/>
        <v>4000</v>
      </c>
    </row>
    <row r="14" spans="1:19" ht="20.25" x14ac:dyDescent="0.25">
      <c r="A14" s="9">
        <v>12</v>
      </c>
      <c r="B14" s="57" t="s">
        <v>32</v>
      </c>
      <c r="C14" s="10" t="s">
        <v>17</v>
      </c>
      <c r="D14" s="10">
        <v>12</v>
      </c>
      <c r="E14" s="10"/>
      <c r="F14" s="11"/>
      <c r="G14" s="85" t="s">
        <v>223</v>
      </c>
      <c r="H14" s="13"/>
      <c r="I14" s="69"/>
      <c r="J14" s="13"/>
      <c r="K14" s="50">
        <v>10000</v>
      </c>
      <c r="L14" s="82">
        <v>4000</v>
      </c>
      <c r="M14" s="83"/>
      <c r="N14" s="82">
        <v>3000</v>
      </c>
      <c r="O14" s="83"/>
      <c r="P14" s="82">
        <v>3000</v>
      </c>
      <c r="Q14" s="83"/>
      <c r="R14" s="82">
        <v>10000</v>
      </c>
      <c r="S14" s="83">
        <f t="shared" si="0"/>
        <v>0</v>
      </c>
    </row>
    <row r="15" spans="1:19" ht="20.25" x14ac:dyDescent="0.25">
      <c r="A15" s="9">
        <v>13</v>
      </c>
      <c r="B15" s="57" t="s">
        <v>33</v>
      </c>
      <c r="C15" s="10" t="s">
        <v>17</v>
      </c>
      <c r="D15" s="10">
        <v>13</v>
      </c>
      <c r="E15" s="10"/>
      <c r="F15" s="11"/>
      <c r="G15" t="s">
        <v>214</v>
      </c>
      <c r="H15" s="13"/>
      <c r="I15" s="69"/>
      <c r="J15" s="13"/>
      <c r="K15" s="50">
        <v>10000</v>
      </c>
      <c r="L15" s="82">
        <v>4000</v>
      </c>
      <c r="M15" s="83">
        <v>4000</v>
      </c>
      <c r="N15" s="82">
        <v>3000</v>
      </c>
      <c r="O15" s="83">
        <v>3000</v>
      </c>
      <c r="P15" s="82">
        <v>3000</v>
      </c>
      <c r="Q15" s="83">
        <v>3000</v>
      </c>
      <c r="R15" s="82">
        <v>10000</v>
      </c>
      <c r="S15" s="83">
        <f t="shared" si="0"/>
        <v>10000</v>
      </c>
    </row>
    <row r="16" spans="1:19" ht="20.25" x14ac:dyDescent="0.25">
      <c r="A16" s="9">
        <v>14</v>
      </c>
      <c r="B16" s="57" t="s">
        <v>34</v>
      </c>
      <c r="C16" s="10" t="s">
        <v>17</v>
      </c>
      <c r="D16" s="10">
        <v>14</v>
      </c>
      <c r="E16" s="10"/>
      <c r="F16" s="11"/>
      <c r="G16" t="s">
        <v>193</v>
      </c>
      <c r="H16" s="13"/>
      <c r="I16" s="69"/>
      <c r="J16" s="13"/>
      <c r="K16" s="50">
        <v>10000</v>
      </c>
      <c r="L16" s="82">
        <v>4000</v>
      </c>
      <c r="M16" s="83"/>
      <c r="N16" s="82">
        <v>3000</v>
      </c>
      <c r="O16" s="83"/>
      <c r="P16" s="82">
        <v>3000</v>
      </c>
      <c r="Q16" s="83"/>
      <c r="R16" s="82">
        <v>10000</v>
      </c>
      <c r="S16" s="83">
        <f t="shared" si="0"/>
        <v>0</v>
      </c>
    </row>
    <row r="17" spans="1:19" ht="20.25" x14ac:dyDescent="0.25">
      <c r="A17" s="9">
        <v>15</v>
      </c>
      <c r="B17" s="57" t="s">
        <v>35</v>
      </c>
      <c r="C17" s="10" t="s">
        <v>17</v>
      </c>
      <c r="D17" s="10">
        <v>15</v>
      </c>
      <c r="E17" s="10"/>
      <c r="F17" s="11"/>
      <c r="G17" t="s">
        <v>194</v>
      </c>
      <c r="H17" s="13"/>
      <c r="I17" s="69"/>
      <c r="J17" s="13"/>
      <c r="K17" s="50">
        <v>10000</v>
      </c>
      <c r="L17" s="82">
        <v>4000</v>
      </c>
      <c r="M17" s="83">
        <v>4000</v>
      </c>
      <c r="N17" s="82">
        <v>3000</v>
      </c>
      <c r="O17" s="83">
        <v>3000</v>
      </c>
      <c r="P17" s="82">
        <v>3000</v>
      </c>
      <c r="Q17" s="83">
        <v>3000</v>
      </c>
      <c r="R17" s="82">
        <v>10000</v>
      </c>
      <c r="S17" s="83">
        <f t="shared" si="0"/>
        <v>10000</v>
      </c>
    </row>
    <row r="18" spans="1:19" ht="20.25" x14ac:dyDescent="0.25">
      <c r="A18" s="9">
        <v>16</v>
      </c>
      <c r="B18" s="57" t="s">
        <v>36</v>
      </c>
      <c r="C18" s="10" t="s">
        <v>17</v>
      </c>
      <c r="D18" s="10">
        <v>16</v>
      </c>
      <c r="E18" s="10"/>
      <c r="F18" s="11"/>
      <c r="G18" t="s">
        <v>195</v>
      </c>
      <c r="H18" s="13"/>
      <c r="I18" s="69"/>
      <c r="J18" s="13"/>
      <c r="K18" s="50">
        <v>10000</v>
      </c>
      <c r="L18" s="82">
        <v>4000</v>
      </c>
      <c r="M18" s="83"/>
      <c r="N18" s="82">
        <v>3000</v>
      </c>
      <c r="O18" s="83"/>
      <c r="P18" s="82">
        <v>3000</v>
      </c>
      <c r="Q18" s="83"/>
      <c r="R18" s="82">
        <v>10000</v>
      </c>
      <c r="S18" s="83">
        <f t="shared" si="0"/>
        <v>0</v>
      </c>
    </row>
    <row r="19" spans="1:19" ht="20.25" x14ac:dyDescent="0.25">
      <c r="A19" s="9">
        <v>17</v>
      </c>
      <c r="B19" s="57" t="s">
        <v>37</v>
      </c>
      <c r="C19" s="10" t="s">
        <v>17</v>
      </c>
      <c r="D19" s="10">
        <v>17</v>
      </c>
      <c r="E19" s="10"/>
      <c r="F19" s="11"/>
      <c r="G19" t="s">
        <v>196</v>
      </c>
      <c r="H19" s="13"/>
      <c r="I19" s="69"/>
      <c r="J19" s="13"/>
      <c r="K19" s="50">
        <v>10000</v>
      </c>
      <c r="L19" s="82">
        <v>4000</v>
      </c>
      <c r="M19" s="83">
        <v>4000</v>
      </c>
      <c r="N19" s="82">
        <v>3000</v>
      </c>
      <c r="O19" s="83"/>
      <c r="P19" s="82">
        <v>3000</v>
      </c>
      <c r="Q19" s="83"/>
      <c r="R19" s="82">
        <v>10000</v>
      </c>
      <c r="S19" s="83">
        <f t="shared" si="0"/>
        <v>4000</v>
      </c>
    </row>
    <row r="20" spans="1:19" ht="20.25" x14ac:dyDescent="0.25">
      <c r="A20" s="9">
        <v>18</v>
      </c>
      <c r="B20" s="57" t="s">
        <v>38</v>
      </c>
      <c r="C20" s="10" t="s">
        <v>17</v>
      </c>
      <c r="D20" s="10">
        <v>18</v>
      </c>
      <c r="E20" s="10"/>
      <c r="F20" s="11"/>
      <c r="G20" t="s">
        <v>197</v>
      </c>
      <c r="H20" s="13"/>
      <c r="I20" s="69"/>
      <c r="J20" s="13"/>
      <c r="K20" s="50">
        <v>10000</v>
      </c>
      <c r="L20" s="82">
        <v>4000</v>
      </c>
      <c r="M20" s="83"/>
      <c r="N20" s="82">
        <v>3000</v>
      </c>
      <c r="O20" s="83"/>
      <c r="P20" s="82">
        <v>3000</v>
      </c>
      <c r="Q20" s="83"/>
      <c r="R20" s="82">
        <v>10000</v>
      </c>
      <c r="S20" s="83">
        <f t="shared" si="0"/>
        <v>0</v>
      </c>
    </row>
    <row r="21" spans="1:19" ht="20.25" x14ac:dyDescent="0.25">
      <c r="A21" s="9">
        <v>19</v>
      </c>
      <c r="B21" s="57" t="s">
        <v>39</v>
      </c>
      <c r="C21" s="10" t="s">
        <v>17</v>
      </c>
      <c r="D21" s="10">
        <v>19</v>
      </c>
      <c r="E21" s="10"/>
      <c r="F21" s="11"/>
      <c r="G21" t="s">
        <v>215</v>
      </c>
      <c r="H21" s="13"/>
      <c r="I21" s="69"/>
      <c r="J21" s="13"/>
      <c r="K21" s="50">
        <v>10000</v>
      </c>
      <c r="L21" s="82">
        <v>4000</v>
      </c>
      <c r="M21" s="83">
        <v>4000</v>
      </c>
      <c r="N21" s="82">
        <v>3000</v>
      </c>
      <c r="O21" s="83">
        <v>3000</v>
      </c>
      <c r="P21" s="82">
        <v>3000</v>
      </c>
      <c r="Q21" s="83"/>
      <c r="R21" s="82">
        <v>10000</v>
      </c>
      <c r="S21" s="83">
        <f t="shared" si="0"/>
        <v>7000</v>
      </c>
    </row>
    <row r="22" spans="1:19" ht="20.25" x14ac:dyDescent="0.25">
      <c r="A22" s="9">
        <v>20</v>
      </c>
      <c r="B22" s="57" t="s">
        <v>40</v>
      </c>
      <c r="C22" s="10" t="s">
        <v>17</v>
      </c>
      <c r="D22" s="10">
        <v>20</v>
      </c>
      <c r="E22" s="10"/>
      <c r="F22" s="11"/>
      <c r="G22" t="s">
        <v>216</v>
      </c>
      <c r="H22" s="13"/>
      <c r="I22" s="69"/>
      <c r="J22" s="13"/>
      <c r="K22" s="50">
        <v>10000</v>
      </c>
      <c r="L22" s="82">
        <v>4000</v>
      </c>
      <c r="M22" s="83"/>
      <c r="N22" s="82">
        <v>3000</v>
      </c>
      <c r="O22" s="83"/>
      <c r="P22" s="82">
        <v>3000</v>
      </c>
      <c r="Q22" s="83"/>
      <c r="R22" s="82">
        <v>10000</v>
      </c>
      <c r="S22" s="83">
        <f t="shared" si="0"/>
        <v>0</v>
      </c>
    </row>
    <row r="23" spans="1:19" ht="20.25" x14ac:dyDescent="0.25">
      <c r="A23" s="9">
        <v>21</v>
      </c>
      <c r="B23" s="57" t="s">
        <v>41</v>
      </c>
      <c r="C23" s="10" t="s">
        <v>17</v>
      </c>
      <c r="D23" s="10">
        <v>21</v>
      </c>
      <c r="E23" s="10"/>
      <c r="F23" s="11"/>
      <c r="G23" t="s">
        <v>217</v>
      </c>
      <c r="H23" s="13"/>
      <c r="I23" s="69"/>
      <c r="J23" s="13"/>
      <c r="K23" s="50">
        <v>10000</v>
      </c>
      <c r="L23" s="82">
        <v>4000</v>
      </c>
      <c r="M23" s="83"/>
      <c r="N23" s="82">
        <v>3000</v>
      </c>
      <c r="O23" s="83"/>
      <c r="P23" s="82">
        <v>3000</v>
      </c>
      <c r="Q23" s="83"/>
      <c r="R23" s="82">
        <v>10000</v>
      </c>
      <c r="S23" s="83">
        <f t="shared" si="0"/>
        <v>0</v>
      </c>
    </row>
    <row r="24" spans="1:19" ht="20.25" x14ac:dyDescent="0.25">
      <c r="A24" s="9">
        <v>22</v>
      </c>
      <c r="B24" s="57" t="s">
        <v>42</v>
      </c>
      <c r="C24" s="10" t="s">
        <v>17</v>
      </c>
      <c r="D24" s="10">
        <v>22</v>
      </c>
      <c r="E24" s="10"/>
      <c r="F24" s="11"/>
      <c r="G24" t="s">
        <v>198</v>
      </c>
      <c r="H24" s="13"/>
      <c r="I24" s="69"/>
      <c r="J24" s="13"/>
      <c r="K24" s="50">
        <v>10000</v>
      </c>
      <c r="L24" s="82">
        <v>4000</v>
      </c>
      <c r="M24" s="83"/>
      <c r="N24" s="82">
        <v>3000</v>
      </c>
      <c r="O24" s="83"/>
      <c r="P24" s="82">
        <v>3000</v>
      </c>
      <c r="Q24" s="83"/>
      <c r="R24" s="82">
        <v>10000</v>
      </c>
      <c r="S24" s="83">
        <f t="shared" si="0"/>
        <v>0</v>
      </c>
    </row>
    <row r="25" spans="1:19" ht="20.25" x14ac:dyDescent="0.25">
      <c r="A25" s="9">
        <v>23</v>
      </c>
      <c r="B25" s="57" t="s">
        <v>43</v>
      </c>
      <c r="C25" s="10" t="s">
        <v>17</v>
      </c>
      <c r="D25" s="10">
        <v>23</v>
      </c>
      <c r="E25" s="10"/>
      <c r="F25" s="11"/>
      <c r="G25" t="s">
        <v>199</v>
      </c>
      <c r="H25" s="13"/>
      <c r="I25" s="69"/>
      <c r="J25" s="13"/>
      <c r="K25" s="50">
        <v>10000</v>
      </c>
      <c r="L25" s="82">
        <v>4000</v>
      </c>
      <c r="M25" s="83"/>
      <c r="N25" s="82">
        <v>3000</v>
      </c>
      <c r="O25" s="83"/>
      <c r="P25" s="82">
        <v>3000</v>
      </c>
      <c r="Q25" s="83"/>
      <c r="R25" s="82">
        <v>10000</v>
      </c>
      <c r="S25" s="83">
        <f t="shared" si="0"/>
        <v>0</v>
      </c>
    </row>
    <row r="26" spans="1:19" ht="20.25" x14ac:dyDescent="0.25">
      <c r="A26" s="9">
        <v>24</v>
      </c>
      <c r="B26" s="57" t="s">
        <v>44</v>
      </c>
      <c r="C26" s="10" t="s">
        <v>17</v>
      </c>
      <c r="D26" s="10">
        <v>24</v>
      </c>
      <c r="E26" s="10"/>
      <c r="F26" s="11"/>
      <c r="G26" t="s">
        <v>200</v>
      </c>
      <c r="H26" s="13"/>
      <c r="I26" s="69"/>
      <c r="J26" s="13"/>
      <c r="K26" s="50">
        <v>10000</v>
      </c>
      <c r="L26" s="82">
        <v>4000</v>
      </c>
      <c r="M26" s="83">
        <v>4000</v>
      </c>
      <c r="N26" s="82">
        <v>3000</v>
      </c>
      <c r="O26" s="83">
        <v>3000</v>
      </c>
      <c r="P26" s="82">
        <v>3000</v>
      </c>
      <c r="Q26" s="83">
        <v>3000</v>
      </c>
      <c r="R26" s="82">
        <v>10000</v>
      </c>
      <c r="S26" s="83">
        <f t="shared" si="0"/>
        <v>10000</v>
      </c>
    </row>
    <row r="27" spans="1:19" ht="20.25" x14ac:dyDescent="0.25">
      <c r="A27" s="9">
        <v>25</v>
      </c>
      <c r="B27" s="57" t="s">
        <v>45</v>
      </c>
      <c r="C27" s="10" t="s">
        <v>17</v>
      </c>
      <c r="D27" s="10">
        <v>25</v>
      </c>
      <c r="E27" s="10"/>
      <c r="F27" s="11"/>
      <c r="G27" t="s">
        <v>201</v>
      </c>
      <c r="H27" s="13"/>
      <c r="I27" s="69"/>
      <c r="J27" s="13"/>
      <c r="K27" s="50">
        <v>10000</v>
      </c>
      <c r="L27" s="82">
        <v>4000</v>
      </c>
      <c r="M27" s="83"/>
      <c r="N27" s="82">
        <v>3000</v>
      </c>
      <c r="O27" s="83"/>
      <c r="P27" s="82">
        <v>3000</v>
      </c>
      <c r="Q27" s="83"/>
      <c r="R27" s="82">
        <v>10000</v>
      </c>
      <c r="S27" s="83">
        <f t="shared" si="0"/>
        <v>0</v>
      </c>
    </row>
    <row r="28" spans="1:19" ht="20.25" x14ac:dyDescent="0.25">
      <c r="A28" s="9">
        <v>26</v>
      </c>
      <c r="B28" s="57" t="s">
        <v>46</v>
      </c>
      <c r="C28" s="10" t="s">
        <v>17</v>
      </c>
      <c r="D28" s="10">
        <v>26</v>
      </c>
      <c r="E28" s="10"/>
      <c r="F28" s="11"/>
      <c r="G28" t="s">
        <v>202</v>
      </c>
      <c r="H28" s="13"/>
      <c r="I28" s="69"/>
      <c r="J28" s="13"/>
      <c r="K28" s="50">
        <v>10000</v>
      </c>
      <c r="L28" s="82">
        <v>4000</v>
      </c>
      <c r="M28" s="83">
        <v>4000</v>
      </c>
      <c r="N28" s="82">
        <v>3000</v>
      </c>
      <c r="O28" s="83">
        <v>3000</v>
      </c>
      <c r="P28" s="82">
        <v>3000</v>
      </c>
      <c r="Q28" s="83"/>
      <c r="R28" s="82">
        <v>10000</v>
      </c>
      <c r="S28" s="83">
        <f t="shared" si="0"/>
        <v>7000</v>
      </c>
    </row>
    <row r="29" spans="1:19" ht="20.25" x14ac:dyDescent="0.25">
      <c r="A29" s="9">
        <v>27</v>
      </c>
      <c r="B29" s="57" t="s">
        <v>47</v>
      </c>
      <c r="C29" s="10" t="s">
        <v>17</v>
      </c>
      <c r="D29" s="10">
        <v>27</v>
      </c>
      <c r="E29" s="10"/>
      <c r="F29" s="11"/>
      <c r="G29" t="s">
        <v>218</v>
      </c>
      <c r="H29" s="13"/>
      <c r="I29" s="69"/>
      <c r="J29" s="13"/>
      <c r="K29" s="50">
        <v>10000</v>
      </c>
      <c r="L29" s="82">
        <v>4000</v>
      </c>
      <c r="M29" s="83"/>
      <c r="N29" s="82">
        <v>3000</v>
      </c>
      <c r="O29" s="83"/>
      <c r="P29" s="82">
        <v>3000</v>
      </c>
      <c r="Q29" s="83"/>
      <c r="R29" s="82">
        <v>10000</v>
      </c>
      <c r="S29" s="83">
        <f t="shared" si="0"/>
        <v>0</v>
      </c>
    </row>
    <row r="30" spans="1:19" ht="20.25" x14ac:dyDescent="0.25">
      <c r="A30" s="9">
        <v>1</v>
      </c>
      <c r="B30" s="57" t="s">
        <v>48</v>
      </c>
      <c r="C30" s="15" t="s">
        <v>49</v>
      </c>
      <c r="D30" s="15">
        <v>0</v>
      </c>
      <c r="E30" s="15"/>
      <c r="F30" s="16"/>
      <c r="G30" s="12" t="s">
        <v>219</v>
      </c>
      <c r="H30" s="13"/>
      <c r="I30" s="69"/>
      <c r="J30" s="13"/>
      <c r="K30" s="50">
        <v>10000</v>
      </c>
      <c r="L30" s="82">
        <v>4000</v>
      </c>
      <c r="M30" s="83"/>
      <c r="N30" s="82">
        <v>3000</v>
      </c>
      <c r="O30" s="83"/>
      <c r="P30" s="82">
        <v>3000</v>
      </c>
      <c r="Q30" s="83"/>
      <c r="R30" s="82">
        <v>10000</v>
      </c>
      <c r="S30" s="83">
        <f t="shared" si="0"/>
        <v>0</v>
      </c>
    </row>
    <row r="31" spans="1:19" ht="20.25" x14ac:dyDescent="0.25">
      <c r="A31" s="9">
        <v>2</v>
      </c>
      <c r="B31" s="57" t="s">
        <v>50</v>
      </c>
      <c r="C31" s="15" t="s">
        <v>49</v>
      </c>
      <c r="D31" s="15">
        <v>1</v>
      </c>
      <c r="E31" s="15"/>
      <c r="F31" s="16"/>
      <c r="G31" t="s">
        <v>203</v>
      </c>
      <c r="H31" s="13"/>
      <c r="I31" s="69"/>
      <c r="J31" s="13"/>
      <c r="K31" s="50">
        <v>10000</v>
      </c>
      <c r="L31" s="82">
        <v>4000</v>
      </c>
      <c r="M31" s="83"/>
      <c r="N31" s="82">
        <v>3000</v>
      </c>
      <c r="O31" s="83"/>
      <c r="P31" s="82">
        <v>3000</v>
      </c>
      <c r="Q31" s="83"/>
      <c r="R31" s="82">
        <v>10000</v>
      </c>
      <c r="S31" s="83">
        <f t="shared" si="0"/>
        <v>0</v>
      </c>
    </row>
    <row r="32" spans="1:19" ht="20.25" x14ac:dyDescent="0.25">
      <c r="A32" s="9">
        <v>3</v>
      </c>
      <c r="B32" s="57" t="s">
        <v>51</v>
      </c>
      <c r="C32" s="15" t="s">
        <v>49</v>
      </c>
      <c r="D32" s="15">
        <v>2</v>
      </c>
      <c r="E32" s="15"/>
      <c r="F32" s="16"/>
      <c r="G32" t="s">
        <v>188</v>
      </c>
      <c r="H32" s="13"/>
      <c r="I32" s="69"/>
      <c r="J32" s="13"/>
      <c r="K32" s="50">
        <v>10000</v>
      </c>
      <c r="L32" s="82">
        <v>4000</v>
      </c>
      <c r="M32" s="83"/>
      <c r="N32" s="82">
        <v>3000</v>
      </c>
      <c r="O32" s="83"/>
      <c r="P32" s="82">
        <v>3000</v>
      </c>
      <c r="Q32" s="83"/>
      <c r="R32" s="82">
        <v>10000</v>
      </c>
      <c r="S32" s="83">
        <f t="shared" si="0"/>
        <v>0</v>
      </c>
    </row>
    <row r="33" spans="1:19" ht="20.25" x14ac:dyDescent="0.25">
      <c r="A33" s="9">
        <v>4</v>
      </c>
      <c r="B33" s="57" t="s">
        <v>52</v>
      </c>
      <c r="C33" s="15" t="s">
        <v>49</v>
      </c>
      <c r="D33" s="15">
        <v>3</v>
      </c>
      <c r="E33" s="15"/>
      <c r="F33" s="16"/>
      <c r="G33" t="s">
        <v>218</v>
      </c>
      <c r="H33" s="13"/>
      <c r="I33" s="69"/>
      <c r="J33" s="13"/>
      <c r="K33" s="50">
        <v>10000</v>
      </c>
      <c r="L33" s="82">
        <v>4000</v>
      </c>
      <c r="M33" s="83"/>
      <c r="N33" s="82">
        <v>3000</v>
      </c>
      <c r="O33" s="83"/>
      <c r="P33" s="82">
        <v>3000</v>
      </c>
      <c r="Q33" s="83"/>
      <c r="R33" s="82">
        <v>10000</v>
      </c>
      <c r="S33" s="83">
        <f t="shared" si="0"/>
        <v>0</v>
      </c>
    </row>
    <row r="34" spans="1:19" ht="20.25" x14ac:dyDescent="0.25">
      <c r="A34" s="9">
        <v>5</v>
      </c>
      <c r="B34" s="57" t="s">
        <v>53</v>
      </c>
      <c r="C34" s="15" t="s">
        <v>49</v>
      </c>
      <c r="D34" s="15">
        <v>4</v>
      </c>
      <c r="E34" s="15"/>
      <c r="F34" s="16"/>
      <c r="G34" t="s">
        <v>204</v>
      </c>
      <c r="H34" s="25"/>
      <c r="I34" s="70"/>
      <c r="J34" s="25"/>
      <c r="K34" s="50">
        <v>10000</v>
      </c>
      <c r="L34" s="82">
        <v>4000</v>
      </c>
      <c r="M34" s="83"/>
      <c r="N34" s="82">
        <v>3000</v>
      </c>
      <c r="O34" s="83"/>
      <c r="P34" s="82">
        <v>3000</v>
      </c>
      <c r="Q34" s="83"/>
      <c r="R34" s="82">
        <v>10000</v>
      </c>
      <c r="S34" s="83">
        <f t="shared" si="0"/>
        <v>0</v>
      </c>
    </row>
    <row r="35" spans="1:19" ht="20.25" x14ac:dyDescent="0.25">
      <c r="A35" s="9">
        <v>6</v>
      </c>
      <c r="B35" s="57" t="s">
        <v>54</v>
      </c>
      <c r="C35" s="15" t="s">
        <v>49</v>
      </c>
      <c r="D35" s="15">
        <v>5</v>
      </c>
      <c r="E35" s="15"/>
      <c r="F35" s="16"/>
      <c r="G35" t="s">
        <v>203</v>
      </c>
      <c r="H35" s="13"/>
      <c r="I35" s="69"/>
      <c r="J35" s="13"/>
      <c r="K35" s="50">
        <v>10000</v>
      </c>
      <c r="L35" s="82">
        <v>4000</v>
      </c>
      <c r="M35" s="83"/>
      <c r="N35" s="82">
        <v>3000</v>
      </c>
      <c r="O35" s="83"/>
      <c r="P35" s="82">
        <v>3000</v>
      </c>
      <c r="Q35" s="83"/>
      <c r="R35" s="82">
        <v>10000</v>
      </c>
      <c r="S35" s="83">
        <f t="shared" si="0"/>
        <v>0</v>
      </c>
    </row>
    <row r="36" spans="1:19" ht="20.25" x14ac:dyDescent="0.25">
      <c r="A36" s="9">
        <v>7</v>
      </c>
      <c r="B36" s="57" t="s">
        <v>55</v>
      </c>
      <c r="C36" s="15" t="s">
        <v>49</v>
      </c>
      <c r="D36" s="15">
        <v>6</v>
      </c>
      <c r="E36" s="15"/>
      <c r="F36" s="16"/>
      <c r="G36" t="s">
        <v>205</v>
      </c>
      <c r="H36" s="13"/>
      <c r="I36" s="69"/>
      <c r="J36" s="13"/>
      <c r="K36" s="50">
        <v>10000</v>
      </c>
      <c r="L36" s="82">
        <v>4000</v>
      </c>
      <c r="M36" s="83"/>
      <c r="N36" s="82">
        <v>3000</v>
      </c>
      <c r="O36" s="83"/>
      <c r="P36" s="82">
        <v>3000</v>
      </c>
      <c r="Q36" s="83"/>
      <c r="R36" s="82">
        <v>10000</v>
      </c>
      <c r="S36" s="83">
        <f t="shared" si="0"/>
        <v>0</v>
      </c>
    </row>
    <row r="37" spans="1:19" ht="20.25" x14ac:dyDescent="0.25">
      <c r="A37" s="9">
        <v>8</v>
      </c>
      <c r="B37" s="57" t="s">
        <v>56</v>
      </c>
      <c r="C37" s="15" t="s">
        <v>49</v>
      </c>
      <c r="D37" s="15">
        <v>7</v>
      </c>
      <c r="E37" s="15"/>
      <c r="F37" s="16"/>
      <c r="G37" t="s">
        <v>188</v>
      </c>
      <c r="H37" s="13"/>
      <c r="I37" s="69"/>
      <c r="J37" s="13"/>
      <c r="K37" s="50">
        <v>10000</v>
      </c>
      <c r="L37" s="82">
        <v>4000</v>
      </c>
      <c r="M37" s="83"/>
      <c r="N37" s="82">
        <v>3000</v>
      </c>
      <c r="O37" s="83"/>
      <c r="P37" s="82">
        <v>3000</v>
      </c>
      <c r="Q37" s="83"/>
      <c r="R37" s="82">
        <v>10000</v>
      </c>
      <c r="S37" s="83">
        <f t="shared" si="0"/>
        <v>0</v>
      </c>
    </row>
    <row r="38" spans="1:19" ht="20.25" x14ac:dyDescent="0.25">
      <c r="A38" s="9">
        <v>9</v>
      </c>
      <c r="B38" s="57" t="s">
        <v>57</v>
      </c>
      <c r="C38" s="15" t="s">
        <v>49</v>
      </c>
      <c r="D38" s="15">
        <v>8</v>
      </c>
      <c r="E38" s="15"/>
      <c r="F38" s="16"/>
      <c r="G38" t="s">
        <v>204</v>
      </c>
      <c r="H38" s="13"/>
      <c r="I38" s="69"/>
      <c r="J38" s="13"/>
      <c r="K38" s="50">
        <v>10000</v>
      </c>
      <c r="L38" s="82">
        <v>4000</v>
      </c>
      <c r="M38" s="83"/>
      <c r="N38" s="82">
        <v>3000</v>
      </c>
      <c r="O38" s="83"/>
      <c r="P38" s="82">
        <v>3000</v>
      </c>
      <c r="Q38" s="83"/>
      <c r="R38" s="82">
        <v>10000</v>
      </c>
      <c r="S38" s="83">
        <f t="shared" si="0"/>
        <v>0</v>
      </c>
    </row>
    <row r="39" spans="1:19" ht="20.25" x14ac:dyDescent="0.25">
      <c r="A39" s="9">
        <v>10</v>
      </c>
      <c r="B39" s="57" t="s">
        <v>58</v>
      </c>
      <c r="C39" s="15" t="s">
        <v>49</v>
      </c>
      <c r="D39" s="15">
        <v>9</v>
      </c>
      <c r="E39" s="15"/>
      <c r="F39" s="16"/>
      <c r="G39" t="s">
        <v>206</v>
      </c>
      <c r="H39" s="13"/>
      <c r="I39" s="69"/>
      <c r="J39" s="13"/>
      <c r="K39" s="50">
        <v>10000</v>
      </c>
      <c r="L39" s="82">
        <v>4000</v>
      </c>
      <c r="M39" s="83">
        <v>4000</v>
      </c>
      <c r="N39" s="82">
        <v>3000</v>
      </c>
      <c r="O39" s="83">
        <v>3000</v>
      </c>
      <c r="P39" s="82">
        <v>3000</v>
      </c>
      <c r="Q39" s="83">
        <v>3000</v>
      </c>
      <c r="R39" s="82">
        <v>10000</v>
      </c>
      <c r="S39" s="83">
        <f t="shared" si="0"/>
        <v>10000</v>
      </c>
    </row>
    <row r="40" spans="1:19" ht="20.25" x14ac:dyDescent="0.25">
      <c r="A40" s="9">
        <v>11</v>
      </c>
      <c r="B40" s="57" t="s">
        <v>59</v>
      </c>
      <c r="C40" s="15" t="s">
        <v>49</v>
      </c>
      <c r="D40" s="15">
        <v>10</v>
      </c>
      <c r="E40" s="15"/>
      <c r="F40" s="16"/>
      <c r="G40" t="s">
        <v>188</v>
      </c>
      <c r="H40" s="13"/>
      <c r="I40" s="69"/>
      <c r="J40" s="13"/>
      <c r="K40" s="50">
        <v>10000</v>
      </c>
      <c r="L40" s="82">
        <v>4000</v>
      </c>
      <c r="M40" s="83"/>
      <c r="N40" s="82">
        <v>3000</v>
      </c>
      <c r="O40" s="83"/>
      <c r="P40" s="82">
        <v>3000</v>
      </c>
      <c r="Q40" s="83"/>
      <c r="R40" s="82">
        <v>10000</v>
      </c>
      <c r="S40" s="83">
        <f t="shared" si="0"/>
        <v>0</v>
      </c>
    </row>
    <row r="41" spans="1:19" ht="20.25" x14ac:dyDescent="0.25">
      <c r="A41" s="9">
        <v>12</v>
      </c>
      <c r="B41" s="57" t="s">
        <v>60</v>
      </c>
      <c r="C41" s="15" t="s">
        <v>49</v>
      </c>
      <c r="D41" s="15">
        <v>11</v>
      </c>
      <c r="E41" s="15"/>
      <c r="F41" s="16"/>
      <c r="G41" t="s">
        <v>188</v>
      </c>
      <c r="H41" s="13"/>
      <c r="I41" s="69"/>
      <c r="J41" s="13"/>
      <c r="K41" s="50">
        <v>10000</v>
      </c>
      <c r="L41" s="82">
        <v>4000</v>
      </c>
      <c r="M41" s="83"/>
      <c r="N41" s="82">
        <v>3000</v>
      </c>
      <c r="O41" s="83"/>
      <c r="P41" s="82">
        <v>3000</v>
      </c>
      <c r="Q41" s="83"/>
      <c r="R41" s="82">
        <v>10000</v>
      </c>
      <c r="S41" s="83">
        <f t="shared" si="0"/>
        <v>0</v>
      </c>
    </row>
    <row r="42" spans="1:19" ht="20.25" x14ac:dyDescent="0.25">
      <c r="A42" s="9">
        <v>13</v>
      </c>
      <c r="B42" s="57" t="s">
        <v>61</v>
      </c>
      <c r="C42" s="15" t="s">
        <v>49</v>
      </c>
      <c r="D42" s="15">
        <v>12</v>
      </c>
      <c r="E42" s="15"/>
      <c r="F42" s="16"/>
      <c r="G42" t="s">
        <v>204</v>
      </c>
      <c r="H42" s="13"/>
      <c r="I42" s="69"/>
      <c r="J42" s="13"/>
      <c r="K42" s="50">
        <v>10000</v>
      </c>
      <c r="L42" s="82">
        <v>4000</v>
      </c>
      <c r="M42" s="83"/>
      <c r="N42" s="82">
        <v>3000</v>
      </c>
      <c r="O42" s="83"/>
      <c r="P42" s="82">
        <v>3000</v>
      </c>
      <c r="Q42" s="83"/>
      <c r="R42" s="82">
        <v>10000</v>
      </c>
      <c r="S42" s="83">
        <f t="shared" si="0"/>
        <v>0</v>
      </c>
    </row>
    <row r="43" spans="1:19" ht="20.25" x14ac:dyDescent="0.25">
      <c r="A43" s="9">
        <v>14</v>
      </c>
      <c r="B43" s="57" t="s">
        <v>62</v>
      </c>
      <c r="C43" s="15" t="s">
        <v>49</v>
      </c>
      <c r="D43" s="15">
        <v>13</v>
      </c>
      <c r="E43" s="15"/>
      <c r="F43" s="16"/>
      <c r="G43" t="s">
        <v>204</v>
      </c>
      <c r="H43" s="13"/>
      <c r="I43" s="69"/>
      <c r="J43" s="13"/>
      <c r="K43" s="50">
        <v>10000</v>
      </c>
      <c r="L43" s="82">
        <v>4000</v>
      </c>
      <c r="M43" s="83"/>
      <c r="N43" s="82">
        <v>3000</v>
      </c>
      <c r="O43" s="83"/>
      <c r="P43" s="82">
        <v>3000</v>
      </c>
      <c r="Q43" s="83"/>
      <c r="R43" s="82">
        <v>10000</v>
      </c>
      <c r="S43" s="83">
        <f t="shared" si="0"/>
        <v>0</v>
      </c>
    </row>
    <row r="44" spans="1:19" ht="20.25" x14ac:dyDescent="0.25">
      <c r="A44" s="9">
        <v>15</v>
      </c>
      <c r="B44" s="57" t="s">
        <v>63</v>
      </c>
      <c r="C44" s="15" t="s">
        <v>49</v>
      </c>
      <c r="D44" s="15">
        <v>14</v>
      </c>
      <c r="E44" s="15"/>
      <c r="F44" s="16"/>
      <c r="G44" t="s">
        <v>188</v>
      </c>
      <c r="H44" s="13"/>
      <c r="I44" s="69"/>
      <c r="J44" s="13"/>
      <c r="K44" s="50">
        <v>10000</v>
      </c>
      <c r="L44" s="82">
        <v>4000</v>
      </c>
      <c r="M44" s="83"/>
      <c r="N44" s="82">
        <v>3000</v>
      </c>
      <c r="O44" s="83"/>
      <c r="P44" s="82">
        <v>3000</v>
      </c>
      <c r="Q44" s="83"/>
      <c r="R44" s="82">
        <v>10000</v>
      </c>
      <c r="S44" s="83">
        <f t="shared" si="0"/>
        <v>0</v>
      </c>
    </row>
    <row r="45" spans="1:19" ht="20.25" x14ac:dyDescent="0.25">
      <c r="A45" s="9">
        <v>16</v>
      </c>
      <c r="B45" s="57" t="s">
        <v>64</v>
      </c>
      <c r="C45" s="15" t="s">
        <v>49</v>
      </c>
      <c r="D45" s="15">
        <v>15</v>
      </c>
      <c r="E45" s="15"/>
      <c r="F45" s="16"/>
      <c r="G45" t="s">
        <v>188</v>
      </c>
      <c r="H45" s="13"/>
      <c r="I45" s="69"/>
      <c r="J45" s="13"/>
      <c r="K45" s="50">
        <v>10000</v>
      </c>
      <c r="L45" s="82">
        <v>4000</v>
      </c>
      <c r="M45" s="83"/>
      <c r="N45" s="82">
        <v>3000</v>
      </c>
      <c r="O45" s="83"/>
      <c r="P45" s="82">
        <v>3000</v>
      </c>
      <c r="Q45" s="83"/>
      <c r="R45" s="82">
        <v>10000</v>
      </c>
      <c r="S45" s="83">
        <f t="shared" si="0"/>
        <v>0</v>
      </c>
    </row>
    <row r="46" spans="1:19" ht="20.25" x14ac:dyDescent="0.25">
      <c r="A46" s="9">
        <v>17</v>
      </c>
      <c r="B46" s="57" t="s">
        <v>65</v>
      </c>
      <c r="C46" s="15" t="s">
        <v>49</v>
      </c>
      <c r="D46" s="15">
        <v>16</v>
      </c>
      <c r="E46" s="15"/>
      <c r="F46" s="16"/>
      <c r="G46" t="s">
        <v>204</v>
      </c>
      <c r="H46" s="13"/>
      <c r="I46" s="69"/>
      <c r="J46" s="13"/>
      <c r="K46" s="50">
        <v>10000</v>
      </c>
      <c r="L46" s="82">
        <v>4000</v>
      </c>
      <c r="M46" s="83"/>
      <c r="N46" s="82">
        <v>3000</v>
      </c>
      <c r="O46" s="83"/>
      <c r="P46" s="82">
        <v>3000</v>
      </c>
      <c r="Q46" s="83"/>
      <c r="R46" s="82">
        <v>10000</v>
      </c>
      <c r="S46" s="83">
        <f t="shared" si="0"/>
        <v>0</v>
      </c>
    </row>
    <row r="47" spans="1:19" ht="20.25" x14ac:dyDescent="0.25">
      <c r="A47" s="9">
        <v>18</v>
      </c>
      <c r="B47" s="57" t="s">
        <v>66</v>
      </c>
      <c r="C47" s="15" t="s">
        <v>49</v>
      </c>
      <c r="D47" s="15">
        <v>17</v>
      </c>
      <c r="E47" s="15"/>
      <c r="F47" s="16"/>
      <c r="G47" t="s">
        <v>206</v>
      </c>
      <c r="H47" s="13"/>
      <c r="I47" s="69"/>
      <c r="J47" s="13"/>
      <c r="K47" s="50">
        <v>10000</v>
      </c>
      <c r="L47" s="82">
        <v>4000</v>
      </c>
      <c r="M47" s="83">
        <v>4000</v>
      </c>
      <c r="N47" s="82">
        <v>3000</v>
      </c>
      <c r="O47" s="83">
        <v>3000</v>
      </c>
      <c r="P47" s="82">
        <v>3000</v>
      </c>
      <c r="Q47" s="83">
        <v>3000</v>
      </c>
      <c r="R47" s="82">
        <v>10000</v>
      </c>
      <c r="S47" s="83">
        <f t="shared" si="0"/>
        <v>10000</v>
      </c>
    </row>
    <row r="48" spans="1:19" ht="20.25" x14ac:dyDescent="0.25">
      <c r="A48" s="9">
        <v>19</v>
      </c>
      <c r="B48" s="57" t="s">
        <v>67</v>
      </c>
      <c r="C48" s="15" t="s">
        <v>49</v>
      </c>
      <c r="D48" s="15">
        <v>18</v>
      </c>
      <c r="E48" s="15"/>
      <c r="F48" s="16"/>
      <c r="G48" t="s">
        <v>218</v>
      </c>
      <c r="H48" s="13"/>
      <c r="I48" s="69"/>
      <c r="J48" s="13"/>
      <c r="K48" s="50">
        <v>10000</v>
      </c>
      <c r="L48" s="82">
        <v>4000</v>
      </c>
      <c r="M48" s="83"/>
      <c r="N48" s="82">
        <v>3000</v>
      </c>
      <c r="O48" s="83"/>
      <c r="P48" s="82">
        <v>3000</v>
      </c>
      <c r="Q48" s="83"/>
      <c r="R48" s="82">
        <v>10000</v>
      </c>
      <c r="S48" s="83">
        <f t="shared" si="0"/>
        <v>0</v>
      </c>
    </row>
    <row r="49" spans="1:19" ht="20.25" x14ac:dyDescent="0.25">
      <c r="A49" s="9">
        <v>20</v>
      </c>
      <c r="B49" s="57" t="s">
        <v>68</v>
      </c>
      <c r="C49" s="15" t="s">
        <v>49</v>
      </c>
      <c r="D49" s="15">
        <v>19</v>
      </c>
      <c r="E49" s="15"/>
      <c r="F49" s="16"/>
      <c r="G49" t="s">
        <v>188</v>
      </c>
      <c r="H49" s="13"/>
      <c r="I49" s="69"/>
      <c r="J49" s="13"/>
      <c r="K49" s="50">
        <v>10000</v>
      </c>
      <c r="L49" s="82">
        <v>4000</v>
      </c>
      <c r="M49" s="83"/>
      <c r="N49" s="82">
        <v>3000</v>
      </c>
      <c r="O49" s="83"/>
      <c r="P49" s="82">
        <v>3000</v>
      </c>
      <c r="Q49" s="83"/>
      <c r="R49" s="82">
        <v>10000</v>
      </c>
      <c r="S49" s="83">
        <f t="shared" si="0"/>
        <v>0</v>
      </c>
    </row>
    <row r="50" spans="1:19" ht="20.25" x14ac:dyDescent="0.25">
      <c r="A50" s="9">
        <v>21</v>
      </c>
      <c r="B50" s="57" t="s">
        <v>69</v>
      </c>
      <c r="C50" s="15" t="s">
        <v>49</v>
      </c>
      <c r="D50" s="15">
        <v>20</v>
      </c>
      <c r="E50" s="15"/>
      <c r="F50" s="16"/>
      <c r="G50" t="s">
        <v>207</v>
      </c>
      <c r="H50" s="13"/>
      <c r="I50" s="69"/>
      <c r="J50" s="13"/>
      <c r="K50" s="50">
        <v>10000</v>
      </c>
      <c r="L50" s="82">
        <v>4000</v>
      </c>
      <c r="M50" s="83">
        <v>4000</v>
      </c>
      <c r="N50" s="82">
        <v>3000</v>
      </c>
      <c r="O50" s="83"/>
      <c r="P50" s="82">
        <v>3000</v>
      </c>
      <c r="Q50" s="83"/>
      <c r="R50" s="82">
        <v>10000</v>
      </c>
      <c r="S50" s="83">
        <f t="shared" si="0"/>
        <v>4000</v>
      </c>
    </row>
    <row r="51" spans="1:19" ht="20.25" x14ac:dyDescent="0.25">
      <c r="A51" s="9">
        <v>22</v>
      </c>
      <c r="B51" s="57" t="s">
        <v>70</v>
      </c>
      <c r="C51" s="15" t="s">
        <v>49</v>
      </c>
      <c r="D51" s="15">
        <v>21</v>
      </c>
      <c r="E51" s="15"/>
      <c r="F51" s="16"/>
      <c r="G51" t="s">
        <v>204</v>
      </c>
      <c r="H51" s="13"/>
      <c r="I51" s="69"/>
      <c r="J51" s="13"/>
      <c r="K51" s="50">
        <v>10000</v>
      </c>
      <c r="L51" s="82">
        <v>4000</v>
      </c>
      <c r="M51" s="83"/>
      <c r="N51" s="82">
        <v>3000</v>
      </c>
      <c r="O51" s="83"/>
      <c r="P51" s="82">
        <v>3000</v>
      </c>
      <c r="Q51" s="83"/>
      <c r="R51" s="82">
        <v>10000</v>
      </c>
      <c r="S51" s="83">
        <f t="shared" si="0"/>
        <v>0</v>
      </c>
    </row>
    <row r="52" spans="1:19" ht="20.25" x14ac:dyDescent="0.25">
      <c r="A52" s="9">
        <v>23</v>
      </c>
      <c r="B52" s="57" t="s">
        <v>71</v>
      </c>
      <c r="C52" s="15" t="s">
        <v>49</v>
      </c>
      <c r="D52" s="15">
        <v>22</v>
      </c>
      <c r="E52" s="15"/>
      <c r="F52" s="16"/>
      <c r="G52" t="s">
        <v>188</v>
      </c>
      <c r="H52" s="13"/>
      <c r="I52" s="69"/>
      <c r="J52" s="13"/>
      <c r="K52" s="50">
        <v>10000</v>
      </c>
      <c r="L52" s="82">
        <v>4000</v>
      </c>
      <c r="M52" s="83"/>
      <c r="N52" s="82">
        <v>3000</v>
      </c>
      <c r="O52" s="83"/>
      <c r="P52" s="82">
        <v>3000</v>
      </c>
      <c r="Q52" s="83"/>
      <c r="R52" s="82">
        <v>10000</v>
      </c>
      <c r="S52" s="83">
        <f t="shared" si="0"/>
        <v>0</v>
      </c>
    </row>
    <row r="53" spans="1:19" ht="20.25" x14ac:dyDescent="0.25">
      <c r="A53" s="9">
        <v>24</v>
      </c>
      <c r="B53" s="57" t="s">
        <v>72</v>
      </c>
      <c r="C53" s="15" t="s">
        <v>49</v>
      </c>
      <c r="D53" s="15">
        <v>23</v>
      </c>
      <c r="E53" s="15"/>
      <c r="F53" s="16"/>
      <c r="G53" t="s">
        <v>218</v>
      </c>
      <c r="H53" s="13"/>
      <c r="I53" s="69"/>
      <c r="J53" s="13"/>
      <c r="K53" s="50">
        <v>10000</v>
      </c>
      <c r="L53" s="82">
        <v>4000</v>
      </c>
      <c r="M53" s="83"/>
      <c r="N53" s="82">
        <v>3000</v>
      </c>
      <c r="O53" s="83"/>
      <c r="P53" s="82">
        <v>3000</v>
      </c>
      <c r="Q53" s="83"/>
      <c r="R53" s="82">
        <v>10000</v>
      </c>
      <c r="S53" s="83">
        <f t="shared" si="0"/>
        <v>0</v>
      </c>
    </row>
    <row r="54" spans="1:19" ht="20.25" x14ac:dyDescent="0.25">
      <c r="A54" s="9">
        <v>25</v>
      </c>
      <c r="B54" s="57" t="s">
        <v>73</v>
      </c>
      <c r="C54" s="15" t="s">
        <v>49</v>
      </c>
      <c r="D54" s="15">
        <v>24</v>
      </c>
      <c r="E54" s="15"/>
      <c r="F54" s="16"/>
      <c r="G54" t="s">
        <v>204</v>
      </c>
      <c r="H54" s="13"/>
      <c r="I54" s="69"/>
      <c r="J54" s="13"/>
      <c r="K54" s="50">
        <v>10000</v>
      </c>
      <c r="L54" s="82">
        <v>4000</v>
      </c>
      <c r="M54" s="83"/>
      <c r="N54" s="82">
        <v>3000</v>
      </c>
      <c r="O54" s="83"/>
      <c r="P54" s="82">
        <v>3000</v>
      </c>
      <c r="Q54" s="83"/>
      <c r="R54" s="82">
        <v>10000</v>
      </c>
      <c r="S54" s="83">
        <f t="shared" si="0"/>
        <v>0</v>
      </c>
    </row>
    <row r="55" spans="1:19" ht="20.25" x14ac:dyDescent="0.25">
      <c r="A55" s="9">
        <v>26</v>
      </c>
      <c r="B55" s="57" t="s">
        <v>74</v>
      </c>
      <c r="C55" s="15" t="s">
        <v>49</v>
      </c>
      <c r="D55" s="15">
        <v>25</v>
      </c>
      <c r="E55" s="15"/>
      <c r="F55" s="16"/>
      <c r="G55" t="s">
        <v>204</v>
      </c>
      <c r="H55" s="13"/>
      <c r="I55" s="69"/>
      <c r="J55" s="13"/>
      <c r="K55" s="50">
        <v>10000</v>
      </c>
      <c r="L55" s="82">
        <v>4000</v>
      </c>
      <c r="M55" s="83"/>
      <c r="N55" s="82">
        <v>3000</v>
      </c>
      <c r="O55" s="83"/>
      <c r="P55" s="82">
        <v>3000</v>
      </c>
      <c r="Q55" s="83"/>
      <c r="R55" s="82">
        <v>10000</v>
      </c>
      <c r="S55" s="83">
        <f t="shared" si="0"/>
        <v>0</v>
      </c>
    </row>
    <row r="56" spans="1:19" ht="20.25" x14ac:dyDescent="0.25">
      <c r="A56" s="9">
        <v>27</v>
      </c>
      <c r="B56" s="57" t="s">
        <v>75</v>
      </c>
      <c r="C56" s="15" t="s">
        <v>49</v>
      </c>
      <c r="D56" s="15">
        <v>26</v>
      </c>
      <c r="E56" s="15"/>
      <c r="F56" s="16"/>
      <c r="G56" t="s">
        <v>208</v>
      </c>
      <c r="H56" s="13"/>
      <c r="I56" s="69"/>
      <c r="J56" s="13"/>
      <c r="K56" s="50">
        <v>10000</v>
      </c>
      <c r="L56" s="82">
        <v>4000</v>
      </c>
      <c r="M56" s="83"/>
      <c r="N56" s="82">
        <v>3000</v>
      </c>
      <c r="O56" s="83"/>
      <c r="P56" s="82">
        <v>3000</v>
      </c>
      <c r="Q56" s="83"/>
      <c r="R56" s="82">
        <v>10000</v>
      </c>
      <c r="S56" s="83">
        <f t="shared" si="0"/>
        <v>0</v>
      </c>
    </row>
    <row r="57" spans="1:19" ht="20.25" x14ac:dyDescent="0.25">
      <c r="A57" s="9">
        <v>28</v>
      </c>
      <c r="B57" s="57" t="s">
        <v>76</v>
      </c>
      <c r="C57" s="15" t="s">
        <v>49</v>
      </c>
      <c r="D57" s="15">
        <v>27</v>
      </c>
      <c r="E57" s="15"/>
      <c r="F57" s="16"/>
      <c r="G57" t="s">
        <v>188</v>
      </c>
      <c r="H57" s="13"/>
      <c r="I57" s="69"/>
      <c r="J57" s="13"/>
      <c r="K57" s="50">
        <v>10000</v>
      </c>
      <c r="L57" s="82">
        <v>4000</v>
      </c>
      <c r="M57" s="83"/>
      <c r="N57" s="82">
        <v>3000</v>
      </c>
      <c r="O57" s="83"/>
      <c r="P57" s="82">
        <v>3000</v>
      </c>
      <c r="Q57" s="83"/>
      <c r="R57" s="82">
        <v>10000</v>
      </c>
      <c r="S57" s="83">
        <f t="shared" si="0"/>
        <v>0</v>
      </c>
    </row>
    <row r="58" spans="1:19" ht="20.25" x14ac:dyDescent="0.25">
      <c r="A58" s="9">
        <v>29</v>
      </c>
      <c r="B58" s="57" t="s">
        <v>77</v>
      </c>
      <c r="C58" s="15" t="s">
        <v>49</v>
      </c>
      <c r="D58" s="15">
        <v>28</v>
      </c>
      <c r="E58" s="15"/>
      <c r="F58" s="16"/>
      <c r="G58" t="s">
        <v>204</v>
      </c>
      <c r="H58" s="13"/>
      <c r="I58" s="69"/>
      <c r="J58" s="13"/>
      <c r="K58" s="50">
        <v>10000</v>
      </c>
      <c r="L58" s="82">
        <v>4000</v>
      </c>
      <c r="M58" s="83"/>
      <c r="N58" s="82">
        <v>3000</v>
      </c>
      <c r="O58" s="83"/>
      <c r="P58" s="82">
        <v>3000</v>
      </c>
      <c r="Q58" s="83"/>
      <c r="R58" s="82">
        <v>10000</v>
      </c>
      <c r="S58" s="83">
        <f t="shared" si="0"/>
        <v>0</v>
      </c>
    </row>
    <row r="59" spans="1:19" ht="20.25" x14ac:dyDescent="0.25">
      <c r="A59" s="9">
        <v>30</v>
      </c>
      <c r="B59" s="57" t="s">
        <v>78</v>
      </c>
      <c r="C59" s="15" t="s">
        <v>49</v>
      </c>
      <c r="D59" s="15">
        <v>29</v>
      </c>
      <c r="E59" s="15"/>
      <c r="F59" s="16"/>
      <c r="G59" t="s">
        <v>204</v>
      </c>
      <c r="H59" s="13"/>
      <c r="I59" s="69"/>
      <c r="J59" s="13"/>
      <c r="K59" s="50">
        <v>10000</v>
      </c>
      <c r="L59" s="82">
        <v>4000</v>
      </c>
      <c r="M59" s="83"/>
      <c r="N59" s="82">
        <v>3000</v>
      </c>
      <c r="O59" s="83"/>
      <c r="P59" s="82">
        <v>3000</v>
      </c>
      <c r="Q59" s="83"/>
      <c r="R59" s="82">
        <v>10000</v>
      </c>
      <c r="S59" s="83">
        <f t="shared" si="0"/>
        <v>0</v>
      </c>
    </row>
    <row r="60" spans="1:19" ht="20.25" x14ac:dyDescent="0.25">
      <c r="A60" s="9">
        <v>31</v>
      </c>
      <c r="B60" s="57" t="s">
        <v>79</v>
      </c>
      <c r="C60" s="15" t="s">
        <v>49</v>
      </c>
      <c r="D60" s="15">
        <v>30</v>
      </c>
      <c r="E60" s="15"/>
      <c r="F60" s="16"/>
      <c r="G60" t="s">
        <v>209</v>
      </c>
      <c r="H60" s="13"/>
      <c r="I60" s="69"/>
      <c r="J60" s="13"/>
      <c r="K60" s="50">
        <v>10000</v>
      </c>
      <c r="L60" s="82">
        <v>4000</v>
      </c>
      <c r="M60" s="83"/>
      <c r="N60" s="82">
        <v>3000</v>
      </c>
      <c r="O60" s="83"/>
      <c r="P60" s="82">
        <v>3000</v>
      </c>
      <c r="Q60" s="83"/>
      <c r="R60" s="82">
        <v>10000</v>
      </c>
      <c r="S60" s="83">
        <f t="shared" si="0"/>
        <v>0</v>
      </c>
    </row>
    <row r="61" spans="1:19" ht="20.25" x14ac:dyDescent="0.25">
      <c r="A61" s="9">
        <v>32</v>
      </c>
      <c r="B61" s="57" t="s">
        <v>80</v>
      </c>
      <c r="C61" s="15" t="s">
        <v>49</v>
      </c>
      <c r="D61" s="15">
        <v>31</v>
      </c>
      <c r="E61" s="15"/>
      <c r="F61" s="16"/>
      <c r="G61" t="s">
        <v>188</v>
      </c>
      <c r="H61" s="13"/>
      <c r="I61" s="69"/>
      <c r="J61" s="13"/>
      <c r="K61" s="50">
        <v>10000</v>
      </c>
      <c r="L61" s="82">
        <v>4000</v>
      </c>
      <c r="M61" s="83"/>
      <c r="N61" s="82">
        <v>3000</v>
      </c>
      <c r="O61" s="83"/>
      <c r="P61" s="82">
        <v>3000</v>
      </c>
      <c r="Q61" s="83"/>
      <c r="R61" s="82">
        <v>10000</v>
      </c>
      <c r="S61" s="83">
        <f t="shared" si="0"/>
        <v>0</v>
      </c>
    </row>
    <row r="62" spans="1:19" ht="20.25" x14ac:dyDescent="0.25">
      <c r="A62" s="9">
        <v>33</v>
      </c>
      <c r="B62" s="57" t="s">
        <v>81</v>
      </c>
      <c r="C62" s="15" t="s">
        <v>49</v>
      </c>
      <c r="D62" s="15">
        <v>32</v>
      </c>
      <c r="E62" s="15"/>
      <c r="F62" s="16"/>
      <c r="G62" t="s">
        <v>204</v>
      </c>
      <c r="H62" s="13"/>
      <c r="I62" s="69"/>
      <c r="J62" s="13"/>
      <c r="K62" s="50">
        <v>10000</v>
      </c>
      <c r="L62" s="82">
        <v>4000</v>
      </c>
      <c r="M62" s="83"/>
      <c r="N62" s="82">
        <v>3000</v>
      </c>
      <c r="O62" s="83"/>
      <c r="P62" s="82">
        <v>3000</v>
      </c>
      <c r="Q62" s="83"/>
      <c r="R62" s="82">
        <v>10000</v>
      </c>
      <c r="S62" s="83">
        <f t="shared" si="0"/>
        <v>0</v>
      </c>
    </row>
    <row r="63" spans="1:19" ht="20.25" x14ac:dyDescent="0.25">
      <c r="A63" s="9">
        <v>34</v>
      </c>
      <c r="B63" s="57" t="s">
        <v>82</v>
      </c>
      <c r="C63" s="15" t="s">
        <v>49</v>
      </c>
      <c r="D63" s="15">
        <v>33</v>
      </c>
      <c r="E63" s="15"/>
      <c r="F63" s="15"/>
      <c r="G63" t="s">
        <v>206</v>
      </c>
      <c r="H63" s="13"/>
      <c r="I63" s="69"/>
      <c r="J63" s="13"/>
      <c r="K63" s="50">
        <v>10000</v>
      </c>
      <c r="L63" s="82">
        <v>4000</v>
      </c>
      <c r="M63" s="83">
        <v>4000</v>
      </c>
      <c r="N63" s="82">
        <v>3000</v>
      </c>
      <c r="O63" s="83">
        <v>3000</v>
      </c>
      <c r="P63" s="82">
        <v>3000</v>
      </c>
      <c r="Q63" s="83">
        <v>3000</v>
      </c>
      <c r="R63" s="82">
        <v>10000</v>
      </c>
      <c r="S63" s="83">
        <f t="shared" si="0"/>
        <v>10000</v>
      </c>
    </row>
    <row r="64" spans="1:19" ht="20.25" x14ac:dyDescent="0.25">
      <c r="A64" s="9">
        <v>35</v>
      </c>
      <c r="B64" s="57" t="s">
        <v>84</v>
      </c>
      <c r="C64" s="15" t="s">
        <v>49</v>
      </c>
      <c r="D64" s="15">
        <v>34</v>
      </c>
      <c r="E64" s="15"/>
      <c r="F64" s="15"/>
      <c r="G64" t="s">
        <v>210</v>
      </c>
      <c r="H64" s="13"/>
      <c r="I64" s="69"/>
      <c r="J64" s="13"/>
      <c r="K64" s="50">
        <v>10000</v>
      </c>
      <c r="L64" s="82">
        <v>4000</v>
      </c>
      <c r="M64" s="83"/>
      <c r="N64" s="82">
        <v>3000</v>
      </c>
      <c r="O64" s="83"/>
      <c r="P64" s="82">
        <v>3000</v>
      </c>
      <c r="Q64" s="83"/>
      <c r="R64" s="82">
        <v>10000</v>
      </c>
      <c r="S64" s="83">
        <f t="shared" si="0"/>
        <v>0</v>
      </c>
    </row>
    <row r="65" spans="1:19" ht="20.25" x14ac:dyDescent="0.25">
      <c r="A65" s="9">
        <v>36</v>
      </c>
      <c r="B65" s="57" t="s">
        <v>85</v>
      </c>
      <c r="C65" s="15" t="s">
        <v>49</v>
      </c>
      <c r="D65" s="15">
        <v>35</v>
      </c>
      <c r="E65" s="15"/>
      <c r="F65" s="15"/>
      <c r="G65" t="s">
        <v>188</v>
      </c>
      <c r="H65" s="13"/>
      <c r="I65" s="69"/>
      <c r="J65" s="13"/>
      <c r="K65" s="50">
        <v>10000</v>
      </c>
      <c r="L65" s="82">
        <v>4000</v>
      </c>
      <c r="M65" s="83"/>
      <c r="N65" s="82">
        <v>3000</v>
      </c>
      <c r="O65" s="83"/>
      <c r="P65" s="82">
        <v>3000</v>
      </c>
      <c r="Q65" s="83"/>
      <c r="R65" s="82">
        <v>10000</v>
      </c>
      <c r="S65" s="83">
        <f t="shared" si="0"/>
        <v>0</v>
      </c>
    </row>
    <row r="66" spans="1:19" ht="20.25" x14ac:dyDescent="0.25">
      <c r="A66" s="9">
        <v>37</v>
      </c>
      <c r="B66" s="57" t="s">
        <v>86</v>
      </c>
      <c r="C66" s="15" t="s">
        <v>49</v>
      </c>
      <c r="D66" s="15">
        <v>36</v>
      </c>
      <c r="E66" s="15"/>
      <c r="F66" s="15"/>
      <c r="G66" t="s">
        <v>204</v>
      </c>
      <c r="H66" s="13"/>
      <c r="I66" s="69"/>
      <c r="J66" s="13"/>
      <c r="K66" s="50">
        <v>10000</v>
      </c>
      <c r="L66" s="82">
        <v>4000</v>
      </c>
      <c r="M66" s="83"/>
      <c r="N66" s="82">
        <v>3000</v>
      </c>
      <c r="O66" s="83"/>
      <c r="P66" s="82">
        <v>400</v>
      </c>
      <c r="Q66" s="83"/>
      <c r="R66" s="82">
        <v>10000</v>
      </c>
      <c r="S66" s="83">
        <f t="shared" si="0"/>
        <v>0</v>
      </c>
    </row>
    <row r="68" spans="1:19" ht="18.75" x14ac:dyDescent="0.3">
      <c r="R68" s="81"/>
      <c r="S68" s="67">
        <f>SUM(S3:S66)</f>
        <v>94000</v>
      </c>
    </row>
  </sheetData>
  <mergeCells count="7">
    <mergeCell ref="P1:Q1"/>
    <mergeCell ref="R1:S1"/>
    <mergeCell ref="A1:F1"/>
    <mergeCell ref="H1:I1"/>
    <mergeCell ref="J1:K1"/>
    <mergeCell ref="L1:M1"/>
    <mergeCell ref="N1:O1"/>
  </mergeCells>
  <phoneticPr fontId="21" type="noConversion"/>
  <conditionalFormatting sqref="M3:M66 O3:O66 Q3:Q66 S3:S66">
    <cfRule type="expression" dxfId="11" priority="37">
      <formula>M3&gt;L3</formula>
    </cfRule>
    <cfRule type="expression" dxfId="10" priority="38">
      <formula>M3=L3</formula>
    </cfRule>
    <cfRule type="expression" dxfId="9" priority="39">
      <formula>M3&gt;0</formula>
    </cfRule>
    <cfRule type="expression" dxfId="8" priority="40">
      <formula>M3=0</formula>
    </cfRule>
  </conditionalFormatting>
  <pageMargins left="0.23622047244094491" right="0.23622047244094491" top="0.74803149606299213" bottom="0.74803149606299213" header="0.31496062992125984" footer="0.31496062992125984"/>
  <pageSetup paperSize="9" scale="41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J67"/>
  <sheetViews>
    <sheetView zoomScale="70" zoomScaleNormal="7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A11" sqref="A11:XFD12"/>
    </sheetView>
  </sheetViews>
  <sheetFormatPr defaultRowHeight="15" x14ac:dyDescent="0.25"/>
  <cols>
    <col min="1" max="1" width="8.85546875" bestFit="1" customWidth="1"/>
    <col min="2" max="2" width="6.85546875" hidden="1" customWidth="1"/>
    <col min="3" max="3" width="9.85546875" bestFit="1" customWidth="1"/>
    <col min="4" max="4" width="14.7109375" bestFit="1" customWidth="1"/>
    <col min="5" max="5" width="12" bestFit="1" customWidth="1"/>
    <col min="6" max="6" width="7.140625" bestFit="1" customWidth="1"/>
    <col min="7" max="7" width="54.42578125" customWidth="1"/>
    <col min="8" max="8" width="22.7109375" bestFit="1" customWidth="1"/>
    <col min="9" max="9" width="23.5703125" customWidth="1"/>
    <col min="10" max="10" width="22.7109375" bestFit="1" customWidth="1"/>
    <col min="11" max="11" width="18.5703125" bestFit="1" customWidth="1"/>
    <col min="12" max="36" width="11.42578125" customWidth="1"/>
  </cols>
  <sheetData>
    <row r="1" spans="1:36" s="61" customFormat="1" ht="26.25" x14ac:dyDescent="0.25">
      <c r="A1" s="89" t="s">
        <v>0</v>
      </c>
      <c r="B1" s="89"/>
      <c r="C1" s="89"/>
      <c r="D1" s="89"/>
      <c r="E1" s="89"/>
      <c r="F1" s="89"/>
      <c r="G1" s="60" t="s">
        <v>1</v>
      </c>
      <c r="H1" s="90" t="s">
        <v>2</v>
      </c>
      <c r="I1" s="90"/>
      <c r="J1" s="91" t="s">
        <v>3</v>
      </c>
      <c r="K1" s="92"/>
      <c r="L1" s="87">
        <v>45292</v>
      </c>
      <c r="M1" s="93"/>
      <c r="N1" s="93"/>
      <c r="O1" s="87">
        <v>45323</v>
      </c>
      <c r="P1" s="88"/>
      <c r="Q1" s="87">
        <v>45352</v>
      </c>
      <c r="R1" s="88"/>
      <c r="S1" s="87">
        <v>45383</v>
      </c>
      <c r="T1" s="88"/>
      <c r="U1" s="87">
        <v>45413</v>
      </c>
      <c r="V1" s="88"/>
      <c r="W1" s="87">
        <v>45444</v>
      </c>
      <c r="X1" s="88"/>
      <c r="Y1" s="87">
        <v>45474</v>
      </c>
      <c r="Z1" s="88"/>
      <c r="AA1" s="87">
        <v>45505</v>
      </c>
      <c r="AB1" s="88"/>
      <c r="AC1" s="87">
        <v>45536</v>
      </c>
      <c r="AD1" s="88"/>
      <c r="AE1" s="87">
        <v>45566</v>
      </c>
      <c r="AF1" s="88"/>
      <c r="AG1" s="87">
        <v>45597</v>
      </c>
      <c r="AH1" s="88"/>
      <c r="AI1" s="87">
        <v>45627</v>
      </c>
      <c r="AJ1" s="93"/>
    </row>
    <row r="2" spans="1:36" ht="18.75" thickBot="1" x14ac:dyDescent="0.3">
      <c r="A2" s="62" t="s">
        <v>5</v>
      </c>
      <c r="B2" s="62"/>
      <c r="C2" s="62" t="s">
        <v>6</v>
      </c>
      <c r="D2" s="62" t="s">
        <v>7</v>
      </c>
      <c r="E2" s="62" t="s">
        <v>8</v>
      </c>
      <c r="F2" s="62" t="s">
        <v>9</v>
      </c>
      <c r="G2" s="62" t="s">
        <v>10</v>
      </c>
      <c r="H2" s="62" t="s">
        <v>11</v>
      </c>
      <c r="I2" s="62" t="s">
        <v>12</v>
      </c>
      <c r="J2" s="62" t="s">
        <v>11</v>
      </c>
      <c r="K2" s="63" t="s">
        <v>13</v>
      </c>
      <c r="L2" s="55" t="s">
        <v>14</v>
      </c>
      <c r="M2" s="55" t="s">
        <v>14</v>
      </c>
      <c r="N2" s="55" t="s">
        <v>15</v>
      </c>
      <c r="O2" s="55" t="s">
        <v>14</v>
      </c>
      <c r="P2" s="55" t="s">
        <v>15</v>
      </c>
      <c r="Q2" s="55" t="s">
        <v>14</v>
      </c>
      <c r="R2" s="55" t="s">
        <v>15</v>
      </c>
      <c r="S2" s="55" t="s">
        <v>14</v>
      </c>
      <c r="T2" s="55" t="s">
        <v>15</v>
      </c>
      <c r="U2" s="55" t="s">
        <v>14</v>
      </c>
      <c r="V2" s="55" t="s">
        <v>15</v>
      </c>
      <c r="W2" s="55" t="s">
        <v>14</v>
      </c>
      <c r="X2" s="55" t="s">
        <v>15</v>
      </c>
      <c r="Y2" s="55" t="s">
        <v>14</v>
      </c>
      <c r="Z2" s="55" t="s">
        <v>15</v>
      </c>
      <c r="AA2" s="55" t="s">
        <v>14</v>
      </c>
      <c r="AB2" s="55" t="s">
        <v>15</v>
      </c>
      <c r="AC2" s="55" t="s">
        <v>14</v>
      </c>
      <c r="AD2" s="55" t="s">
        <v>15</v>
      </c>
      <c r="AE2" s="55" t="s">
        <v>14</v>
      </c>
      <c r="AF2" s="55" t="s">
        <v>15</v>
      </c>
      <c r="AG2" s="55" t="s">
        <v>14</v>
      </c>
      <c r="AH2" s="55" t="s">
        <v>15</v>
      </c>
      <c r="AI2" s="55" t="s">
        <v>14</v>
      </c>
      <c r="AJ2" s="55" t="s">
        <v>15</v>
      </c>
    </row>
    <row r="3" spans="1:36" ht="20.25" x14ac:dyDescent="0.25">
      <c r="A3" s="3">
        <v>1</v>
      </c>
      <c r="B3" s="56" t="s">
        <v>16</v>
      </c>
      <c r="C3" s="4" t="s">
        <v>17</v>
      </c>
      <c r="D3" s="4">
        <v>1</v>
      </c>
      <c r="E3" s="4"/>
      <c r="F3" s="5"/>
      <c r="G3" s="85" t="s">
        <v>188</v>
      </c>
      <c r="H3" s="7"/>
      <c r="I3" s="8"/>
      <c r="J3" s="7"/>
      <c r="K3" s="50">
        <v>1500</v>
      </c>
      <c r="L3" s="58"/>
      <c r="M3" s="58"/>
      <c r="N3" s="59"/>
      <c r="O3" s="58"/>
      <c r="P3" s="59"/>
      <c r="Q3" s="58"/>
      <c r="R3" s="59"/>
      <c r="S3" s="58"/>
      <c r="T3" s="59"/>
      <c r="U3" s="58"/>
      <c r="V3" s="59"/>
      <c r="W3" s="58">
        <f>$K3+VLOOKUP($B3,Tablo1[],MONTH(W$1)+4,0)</f>
        <v>1500</v>
      </c>
      <c r="X3" s="59"/>
      <c r="Y3" s="58">
        <f>$K3+VLOOKUP($B3,Tablo1[],MONTH(Y$1)+4,0)</f>
        <v>1500</v>
      </c>
      <c r="Z3" s="59"/>
      <c r="AA3" s="58">
        <f>$K3+VLOOKUP($B3,Tablo1[],MONTH(AA$1)+4,0)</f>
        <v>1500</v>
      </c>
      <c r="AB3" s="59"/>
      <c r="AC3" s="58">
        <f>$K3+VLOOKUP($B3,Tablo1[],MONTH(AC$1)+4,0)</f>
        <v>1500</v>
      </c>
      <c r="AD3" s="59"/>
      <c r="AE3" s="58">
        <f>$K3+VLOOKUP($B3,Tablo1[],MONTH(AE$1)+4,0)</f>
        <v>1500</v>
      </c>
      <c r="AF3" s="59"/>
      <c r="AG3" s="58">
        <f>$K3+VLOOKUP($B3,Tablo1[],MONTH(AG$1)+4,0)</f>
        <v>1500</v>
      </c>
      <c r="AH3" s="59"/>
      <c r="AI3" s="58">
        <f>$K3+VLOOKUP($B3,Tablo1[],MONTH(AI$1)+4,0)</f>
        <v>1500</v>
      </c>
      <c r="AJ3" s="59"/>
    </row>
    <row r="4" spans="1:36" ht="20.25" x14ac:dyDescent="0.25">
      <c r="A4" s="9">
        <v>2</v>
      </c>
      <c r="B4" s="57" t="s">
        <v>19</v>
      </c>
      <c r="C4" s="10" t="s">
        <v>17</v>
      </c>
      <c r="D4" s="10">
        <v>2</v>
      </c>
      <c r="E4" s="10"/>
      <c r="F4" s="11"/>
      <c r="G4" t="s">
        <v>211</v>
      </c>
      <c r="H4" s="13"/>
      <c r="I4" s="14"/>
      <c r="J4" s="13"/>
      <c r="K4" s="50">
        <v>1500</v>
      </c>
      <c r="L4" s="58"/>
      <c r="M4" s="58"/>
      <c r="N4" s="59"/>
      <c r="O4" s="58"/>
      <c r="P4" s="59"/>
      <c r="Q4" s="58"/>
      <c r="R4" s="59"/>
      <c r="S4" s="58"/>
      <c r="T4" s="59"/>
      <c r="U4" s="58"/>
      <c r="V4" s="59"/>
      <c r="W4" s="58">
        <f>$K4+VLOOKUP($B4,Tablo1[],MONTH(W$1)+4,0)</f>
        <v>1500</v>
      </c>
      <c r="X4" s="59">
        <v>1500</v>
      </c>
      <c r="Y4" s="58">
        <f>$K4+VLOOKUP($B4,Tablo1[],MONTH(Y$1)+4,0)</f>
        <v>1500</v>
      </c>
      <c r="Z4" s="59">
        <v>1500</v>
      </c>
      <c r="AA4" s="58">
        <f>$K4+VLOOKUP($B4,Tablo1[],MONTH(AA$1)+4,0)</f>
        <v>1500</v>
      </c>
      <c r="AB4" s="59"/>
      <c r="AC4" s="58">
        <f>$K4+VLOOKUP($B4,Tablo1[],MONTH(AC$1)+4,0)</f>
        <v>1500</v>
      </c>
      <c r="AD4" s="59"/>
      <c r="AE4" s="58">
        <f>$K4+VLOOKUP($B4,Tablo1[],MONTH(AE$1)+4,0)</f>
        <v>1500</v>
      </c>
      <c r="AF4" s="59"/>
      <c r="AG4" s="58">
        <f>$K4+VLOOKUP($B4,Tablo1[],MONTH(AG$1)+4,0)</f>
        <v>1500</v>
      </c>
      <c r="AH4" s="59"/>
      <c r="AI4" s="58">
        <f>$K4+VLOOKUP($B4,Tablo1[],MONTH(AI$1)+4,0)</f>
        <v>1500</v>
      </c>
      <c r="AJ4" s="59"/>
    </row>
    <row r="5" spans="1:36" ht="20.25" x14ac:dyDescent="0.25">
      <c r="A5" s="9">
        <v>3</v>
      </c>
      <c r="B5" s="57" t="s">
        <v>21</v>
      </c>
      <c r="C5" s="10" t="s">
        <v>17</v>
      </c>
      <c r="D5" s="10">
        <v>3</v>
      </c>
      <c r="E5" s="10"/>
      <c r="F5" s="11"/>
      <c r="G5" s="85" t="s">
        <v>188</v>
      </c>
      <c r="H5" s="13"/>
      <c r="I5" s="14"/>
      <c r="J5" s="13"/>
      <c r="K5" s="50">
        <v>1500</v>
      </c>
      <c r="L5" s="58"/>
      <c r="M5" s="58"/>
      <c r="N5" s="59"/>
      <c r="O5" s="58"/>
      <c r="P5" s="59"/>
      <c r="Q5" s="58"/>
      <c r="R5" s="59"/>
      <c r="S5" s="58"/>
      <c r="T5" s="59"/>
      <c r="U5" s="58"/>
      <c r="V5" s="59"/>
      <c r="W5" s="58">
        <f>$K5+VLOOKUP($B5,Tablo1[],MONTH(W$1)+4,0)</f>
        <v>1500</v>
      </c>
      <c r="X5" s="59"/>
      <c r="Y5" s="58">
        <f>$K5+VLOOKUP($B5,Tablo1[],MONTH(Y$1)+4,0)</f>
        <v>1500</v>
      </c>
      <c r="Z5" s="59"/>
      <c r="AA5" s="58">
        <f>$K5+VLOOKUP($B5,Tablo1[],MONTH(AA$1)+4,0)</f>
        <v>1500</v>
      </c>
      <c r="AB5" s="59"/>
      <c r="AC5" s="58">
        <f>$K5+VLOOKUP($B5,Tablo1[],MONTH(AC$1)+4,0)</f>
        <v>1500</v>
      </c>
      <c r="AD5" s="59"/>
      <c r="AE5" s="58">
        <f>$K5+VLOOKUP($B5,Tablo1[],MONTH(AE$1)+4,0)</f>
        <v>1500</v>
      </c>
      <c r="AF5" s="59"/>
      <c r="AG5" s="58">
        <f>$K5+VLOOKUP($B5,Tablo1[],MONTH(AG$1)+4,0)</f>
        <v>1500</v>
      </c>
      <c r="AH5" s="59"/>
      <c r="AI5" s="58">
        <f>$K5+VLOOKUP($B5,Tablo1[],MONTH(AI$1)+4,0)</f>
        <v>1500</v>
      </c>
      <c r="AJ5" s="59"/>
    </row>
    <row r="6" spans="1:36" ht="20.25" x14ac:dyDescent="0.25">
      <c r="A6" s="9">
        <v>4</v>
      </c>
      <c r="B6" s="57" t="s">
        <v>23</v>
      </c>
      <c r="C6" s="10" t="s">
        <v>17</v>
      </c>
      <c r="D6" s="10">
        <v>4</v>
      </c>
      <c r="E6" s="10"/>
      <c r="F6" s="11"/>
      <c r="G6" t="s">
        <v>212</v>
      </c>
      <c r="H6" s="13"/>
      <c r="I6" s="14"/>
      <c r="J6" s="13"/>
      <c r="K6" s="50">
        <v>1500</v>
      </c>
      <c r="L6" s="58"/>
      <c r="M6" s="58"/>
      <c r="N6" s="59"/>
      <c r="O6" s="58"/>
      <c r="P6" s="59"/>
      <c r="Q6" s="58"/>
      <c r="R6" s="59"/>
      <c r="S6" s="58"/>
      <c r="T6" s="59"/>
      <c r="U6" s="58"/>
      <c r="V6" s="59"/>
      <c r="W6" s="58">
        <f>$K6+VLOOKUP($B6,Tablo1[],MONTH(W$1)+4,0)</f>
        <v>1500</v>
      </c>
      <c r="X6" s="59">
        <v>1500</v>
      </c>
      <c r="Y6" s="58">
        <f>$K6+VLOOKUP($B6,Tablo1[],MONTH(Y$1)+4,0)</f>
        <v>1500</v>
      </c>
      <c r="Z6" s="59">
        <v>1500</v>
      </c>
      <c r="AA6" s="58">
        <f>$K6+VLOOKUP($B6,Tablo1[],MONTH(AA$1)+4,0)</f>
        <v>1500</v>
      </c>
      <c r="AB6" s="59"/>
      <c r="AC6" s="58">
        <f>$K6+VLOOKUP($B6,Tablo1[],MONTH(AC$1)+4,0)</f>
        <v>1500</v>
      </c>
      <c r="AD6" s="59"/>
      <c r="AE6" s="58">
        <f>$K6+VLOOKUP($B6,Tablo1[],MONTH(AE$1)+4,0)</f>
        <v>1500</v>
      </c>
      <c r="AF6" s="59"/>
      <c r="AG6" s="58">
        <f>$K6+VLOOKUP($B6,Tablo1[],MONTH(AG$1)+4,0)</f>
        <v>1500</v>
      </c>
      <c r="AH6" s="59"/>
      <c r="AI6" s="58">
        <f>$K6+VLOOKUP($B6,Tablo1[],MONTH(AI$1)+4,0)</f>
        <v>1500</v>
      </c>
      <c r="AJ6" s="59"/>
    </row>
    <row r="7" spans="1:36" ht="20.25" x14ac:dyDescent="0.25">
      <c r="A7" s="9">
        <v>5</v>
      </c>
      <c r="B7" s="57" t="s">
        <v>25</v>
      </c>
      <c r="C7" s="10" t="s">
        <v>17</v>
      </c>
      <c r="D7" s="10">
        <v>5</v>
      </c>
      <c r="E7" s="10"/>
      <c r="F7" s="11"/>
      <c r="G7" s="85" t="s">
        <v>188</v>
      </c>
      <c r="H7" s="13"/>
      <c r="I7" s="14"/>
      <c r="J7" s="13"/>
      <c r="K7" s="50">
        <v>1500</v>
      </c>
      <c r="L7" s="58"/>
      <c r="M7" s="58"/>
      <c r="N7" s="59"/>
      <c r="O7" s="58"/>
      <c r="P7" s="59"/>
      <c r="Q7" s="58"/>
      <c r="R7" s="59"/>
      <c r="S7" s="58"/>
      <c r="T7" s="59"/>
      <c r="U7" s="58"/>
      <c r="V7" s="59"/>
      <c r="W7" s="58">
        <f>$K7+VLOOKUP($B7,Tablo1[],MONTH(W$1)+4,0)</f>
        <v>1500</v>
      </c>
      <c r="X7" s="59"/>
      <c r="Y7" s="58">
        <f>$K7+VLOOKUP($B7,Tablo1[],MONTH(Y$1)+4,0)</f>
        <v>1500</v>
      </c>
      <c r="Z7" s="59"/>
      <c r="AA7" s="58">
        <f>$K7+VLOOKUP($B7,Tablo1[],MONTH(AA$1)+4,0)</f>
        <v>1500</v>
      </c>
      <c r="AB7" s="59"/>
      <c r="AC7" s="58">
        <f>$K7+VLOOKUP($B7,Tablo1[],MONTH(AC$1)+4,0)</f>
        <v>1500</v>
      </c>
      <c r="AD7" s="59"/>
      <c r="AE7" s="58">
        <f>$K7+VLOOKUP($B7,Tablo1[],MONTH(AE$1)+4,0)</f>
        <v>1500</v>
      </c>
      <c r="AF7" s="59"/>
      <c r="AG7" s="58">
        <f>$K7+VLOOKUP($B7,Tablo1[],MONTH(AG$1)+4,0)</f>
        <v>1500</v>
      </c>
      <c r="AH7" s="59"/>
      <c r="AI7" s="58">
        <f>$K7+VLOOKUP($B7,Tablo1[],MONTH(AI$1)+4,0)</f>
        <v>1500</v>
      </c>
      <c r="AJ7" s="59"/>
    </row>
    <row r="8" spans="1:36" ht="20.25" x14ac:dyDescent="0.25">
      <c r="A8" s="9">
        <v>6</v>
      </c>
      <c r="B8" s="57" t="s">
        <v>26</v>
      </c>
      <c r="C8" s="10" t="s">
        <v>17</v>
      </c>
      <c r="D8" s="10">
        <v>6</v>
      </c>
      <c r="E8" s="10"/>
      <c r="F8" s="11"/>
      <c r="G8" s="85" t="s">
        <v>188</v>
      </c>
      <c r="H8" s="13"/>
      <c r="I8" s="14"/>
      <c r="J8" s="13"/>
      <c r="K8" s="50">
        <v>1500</v>
      </c>
      <c r="L8" s="58"/>
      <c r="M8" s="58"/>
      <c r="N8" s="59"/>
      <c r="O8" s="58"/>
      <c r="P8" s="59"/>
      <c r="Q8" s="58"/>
      <c r="R8" s="59"/>
      <c r="S8" s="58"/>
      <c r="T8" s="59"/>
      <c r="U8" s="58"/>
      <c r="V8" s="59"/>
      <c r="W8" s="58">
        <f>$K8+VLOOKUP($B8,Tablo1[],MONTH(W$1)+4,0)</f>
        <v>1500</v>
      </c>
      <c r="X8" s="59"/>
      <c r="Y8" s="58">
        <f>$K8+VLOOKUP($B8,Tablo1[],MONTH(Y$1)+4,0)</f>
        <v>1500</v>
      </c>
      <c r="Z8" s="59"/>
      <c r="AA8" s="58">
        <f>$K8+VLOOKUP($B8,Tablo1[],MONTH(AA$1)+4,0)</f>
        <v>1500</v>
      </c>
      <c r="AB8" s="59"/>
      <c r="AC8" s="58">
        <f>$K8+VLOOKUP($B8,Tablo1[],MONTH(AC$1)+4,0)</f>
        <v>1500</v>
      </c>
      <c r="AD8" s="59"/>
      <c r="AE8" s="58">
        <f>$K8+VLOOKUP($B8,Tablo1[],MONTH(AE$1)+4,0)</f>
        <v>1500</v>
      </c>
      <c r="AF8" s="59"/>
      <c r="AG8" s="58">
        <f>$K8+VLOOKUP($B8,Tablo1[],MONTH(AG$1)+4,0)</f>
        <v>1500</v>
      </c>
      <c r="AH8" s="59"/>
      <c r="AI8" s="58">
        <f>$K8+VLOOKUP($B8,Tablo1[],MONTH(AI$1)+4,0)</f>
        <v>1500</v>
      </c>
      <c r="AJ8" s="59"/>
    </row>
    <row r="9" spans="1:36" ht="20.25" x14ac:dyDescent="0.25">
      <c r="A9" s="9">
        <v>7</v>
      </c>
      <c r="B9" s="57" t="s">
        <v>27</v>
      </c>
      <c r="C9" s="10" t="s">
        <v>17</v>
      </c>
      <c r="D9" s="10">
        <v>7</v>
      </c>
      <c r="E9" s="10"/>
      <c r="F9" s="11"/>
      <c r="G9" s="86" t="s">
        <v>189</v>
      </c>
      <c r="H9" s="13"/>
      <c r="I9" s="14"/>
      <c r="J9" s="13"/>
      <c r="K9" s="50">
        <v>1500</v>
      </c>
      <c r="L9" s="58"/>
      <c r="M9" s="58"/>
      <c r="N9" s="59"/>
      <c r="O9" s="58"/>
      <c r="P9" s="59"/>
      <c r="Q9" s="58"/>
      <c r="R9" s="59"/>
      <c r="S9" s="58"/>
      <c r="T9" s="59"/>
      <c r="U9" s="58"/>
      <c r="V9" s="59"/>
      <c r="W9" s="58">
        <f>$K9+VLOOKUP($B9,Tablo1[],MONTH(W$1)+4,0)</f>
        <v>1500</v>
      </c>
      <c r="X9" s="59">
        <v>1500</v>
      </c>
      <c r="Y9" s="58">
        <f>$K9+VLOOKUP($B9,Tablo1[],MONTH(Y$1)+4,0)</f>
        <v>1500</v>
      </c>
      <c r="Z9" s="59">
        <v>1500</v>
      </c>
      <c r="AA9" s="58">
        <f>$K9+VLOOKUP($B9,Tablo1[],MONTH(AA$1)+4,0)</f>
        <v>1500</v>
      </c>
      <c r="AB9" s="59"/>
      <c r="AC9" s="58">
        <f>$K9+VLOOKUP($B9,Tablo1[],MONTH(AC$1)+4,0)</f>
        <v>1500</v>
      </c>
      <c r="AD9" s="59"/>
      <c r="AE9" s="58">
        <f>$K9+VLOOKUP($B9,Tablo1[],MONTH(AE$1)+4,0)</f>
        <v>1500</v>
      </c>
      <c r="AF9" s="59"/>
      <c r="AG9" s="58">
        <f>$K9+VLOOKUP($B9,Tablo1[],MONTH(AG$1)+4,0)</f>
        <v>1500</v>
      </c>
      <c r="AH9" s="59"/>
      <c r="AI9" s="58">
        <f>$K9+VLOOKUP($B9,Tablo1[],MONTH(AI$1)+4,0)</f>
        <v>1500</v>
      </c>
      <c r="AJ9" s="59"/>
    </row>
    <row r="10" spans="1:36" ht="20.25" x14ac:dyDescent="0.25">
      <c r="A10" s="9">
        <v>8</v>
      </c>
      <c r="B10" s="57" t="s">
        <v>28</v>
      </c>
      <c r="C10" s="10" t="s">
        <v>17</v>
      </c>
      <c r="D10" s="10">
        <v>8</v>
      </c>
      <c r="E10" s="10"/>
      <c r="F10" s="11"/>
      <c r="G10" t="s">
        <v>190</v>
      </c>
      <c r="H10" s="13"/>
      <c r="I10" s="14"/>
      <c r="J10" s="13"/>
      <c r="K10" s="50">
        <v>1500</v>
      </c>
      <c r="L10" s="58"/>
      <c r="M10" s="58"/>
      <c r="N10" s="59"/>
      <c r="O10" s="58"/>
      <c r="P10" s="59"/>
      <c r="Q10" s="58"/>
      <c r="R10" s="59"/>
      <c r="S10" s="58"/>
      <c r="T10" s="59"/>
      <c r="U10" s="58"/>
      <c r="V10" s="59"/>
      <c r="W10" s="58">
        <f>$K10+VLOOKUP($B10,Tablo1[],MONTH(W$1)+4,0)</f>
        <v>1500</v>
      </c>
      <c r="X10" s="59">
        <v>1500</v>
      </c>
      <c r="Y10" s="58">
        <f>$K10+VLOOKUP($B10,Tablo1[],MONTH(Y$1)+4,0)</f>
        <v>1500</v>
      </c>
      <c r="Z10" s="59">
        <v>1500</v>
      </c>
      <c r="AA10" s="58">
        <f>$K10+VLOOKUP($B10,Tablo1[],MONTH(AA$1)+4,0)</f>
        <v>1500</v>
      </c>
      <c r="AB10" s="59"/>
      <c r="AC10" s="58">
        <f>$K10+VLOOKUP($B10,Tablo1[],MONTH(AC$1)+4,0)</f>
        <v>1500</v>
      </c>
      <c r="AD10" s="59"/>
      <c r="AE10" s="58">
        <f>$K10+VLOOKUP($B10,Tablo1[],MONTH(AE$1)+4,0)</f>
        <v>1500</v>
      </c>
      <c r="AF10" s="59"/>
      <c r="AG10" s="58">
        <f>$K10+VLOOKUP($B10,Tablo1[],MONTH(AG$1)+4,0)</f>
        <v>1500</v>
      </c>
      <c r="AH10" s="59"/>
      <c r="AI10" s="58">
        <f>$K10+VLOOKUP($B10,Tablo1[],MONTH(AI$1)+4,0)</f>
        <v>1500</v>
      </c>
      <c r="AJ10" s="59"/>
    </row>
    <row r="11" spans="1:36" ht="20.25" x14ac:dyDescent="0.25">
      <c r="A11" s="9">
        <v>9</v>
      </c>
      <c r="B11" s="57" t="s">
        <v>29</v>
      </c>
      <c r="C11" s="10" t="s">
        <v>17</v>
      </c>
      <c r="D11" s="10">
        <v>9</v>
      </c>
      <c r="E11" s="10"/>
      <c r="F11" s="11"/>
      <c r="G11" s="85" t="s">
        <v>191</v>
      </c>
      <c r="H11" s="13"/>
      <c r="I11" s="14"/>
      <c r="J11" s="13"/>
      <c r="K11" s="50">
        <v>1500</v>
      </c>
      <c r="L11" s="58"/>
      <c r="M11" s="58"/>
      <c r="N11" s="59"/>
      <c r="O11" s="58"/>
      <c r="P11" s="59"/>
      <c r="Q11" s="58"/>
      <c r="R11" s="59"/>
      <c r="S11" s="58"/>
      <c r="T11" s="59"/>
      <c r="U11" s="58"/>
      <c r="V11" s="59"/>
      <c r="W11" s="58">
        <f>$K11+VLOOKUP($B11,Tablo1[],MONTH(W$1)+4,0)</f>
        <v>1500</v>
      </c>
      <c r="X11" s="59"/>
      <c r="Y11" s="58">
        <f>$K11+VLOOKUP($B11,Tablo1[],MONTH(Y$1)+4,0)</f>
        <v>1500</v>
      </c>
      <c r="Z11" s="59"/>
      <c r="AA11" s="58">
        <f>$K11+VLOOKUP($B11,Tablo1[],MONTH(AA$1)+4,0)</f>
        <v>1500</v>
      </c>
      <c r="AB11" s="59"/>
      <c r="AC11" s="58">
        <f>$K11+VLOOKUP($B11,Tablo1[],MONTH(AC$1)+4,0)</f>
        <v>1500</v>
      </c>
      <c r="AD11" s="59"/>
      <c r="AE11" s="58">
        <f>$K11+VLOOKUP($B11,Tablo1[],MONTH(AE$1)+4,0)</f>
        <v>1500</v>
      </c>
      <c r="AF11" s="59"/>
      <c r="AG11" s="58">
        <f>$K11+VLOOKUP($B11,Tablo1[],MONTH(AG$1)+4,0)</f>
        <v>1500</v>
      </c>
      <c r="AH11" s="59"/>
      <c r="AI11" s="58">
        <f>$K11+VLOOKUP($B11,Tablo1[],MONTH(AI$1)+4,0)</f>
        <v>1500</v>
      </c>
      <c r="AJ11" s="59"/>
    </row>
    <row r="12" spans="1:36" ht="20.25" x14ac:dyDescent="0.25">
      <c r="A12" s="9">
        <v>10</v>
      </c>
      <c r="B12" s="57" t="s">
        <v>30</v>
      </c>
      <c r="C12" s="10" t="s">
        <v>17</v>
      </c>
      <c r="D12" s="10">
        <v>10</v>
      </c>
      <c r="E12" s="10"/>
      <c r="F12" s="11"/>
      <c r="G12" t="s">
        <v>213</v>
      </c>
      <c r="H12" s="13"/>
      <c r="I12" s="14"/>
      <c r="J12" s="13"/>
      <c r="K12" s="50">
        <v>1500</v>
      </c>
      <c r="L12" s="58"/>
      <c r="M12" s="58"/>
      <c r="N12" s="59"/>
      <c r="O12" s="58"/>
      <c r="P12" s="59"/>
      <c r="Q12" s="58"/>
      <c r="R12" s="59"/>
      <c r="S12" s="58"/>
      <c r="T12" s="59"/>
      <c r="U12" s="58"/>
      <c r="V12" s="59"/>
      <c r="W12" s="58">
        <f>$K12+VLOOKUP($B12,Tablo1[],MONTH(W$1)+4,0)</f>
        <v>1500</v>
      </c>
      <c r="X12" s="59"/>
      <c r="Y12" s="58">
        <f>$K12+VLOOKUP($B12,Tablo1[],MONTH(Y$1)+4,0)</f>
        <v>1500</v>
      </c>
      <c r="Z12" s="59"/>
      <c r="AA12" s="58">
        <f>$K12+VLOOKUP($B12,Tablo1[],MONTH(AA$1)+4,0)</f>
        <v>1500</v>
      </c>
      <c r="AB12" s="59"/>
      <c r="AC12" s="58">
        <f>$K12+VLOOKUP($B12,Tablo1[],MONTH(AC$1)+4,0)</f>
        <v>1500</v>
      </c>
      <c r="AD12" s="59"/>
      <c r="AE12" s="58">
        <f>$K12+VLOOKUP($B12,Tablo1[],MONTH(AE$1)+4,0)</f>
        <v>1500</v>
      </c>
      <c r="AF12" s="59"/>
      <c r="AG12" s="58">
        <f>$K12+VLOOKUP($B12,Tablo1[],MONTH(AG$1)+4,0)</f>
        <v>1500</v>
      </c>
      <c r="AH12" s="59"/>
      <c r="AI12" s="58">
        <f>$K12+VLOOKUP($B12,Tablo1[],MONTH(AI$1)+4,0)</f>
        <v>1500</v>
      </c>
      <c r="AJ12" s="59"/>
    </row>
    <row r="13" spans="1:36" ht="20.25" x14ac:dyDescent="0.25">
      <c r="A13" s="9">
        <v>11</v>
      </c>
      <c r="B13" s="57" t="s">
        <v>31</v>
      </c>
      <c r="C13" s="10" t="s">
        <v>17</v>
      </c>
      <c r="D13" s="10">
        <v>11</v>
      </c>
      <c r="E13" s="10"/>
      <c r="F13" s="11"/>
      <c r="G13" t="s">
        <v>192</v>
      </c>
      <c r="H13" s="13"/>
      <c r="I13" s="14"/>
      <c r="J13" s="13"/>
      <c r="K13" s="50">
        <v>1500</v>
      </c>
      <c r="L13" s="58"/>
      <c r="M13" s="58"/>
      <c r="N13" s="59"/>
      <c r="O13" s="58"/>
      <c r="P13" s="59"/>
      <c r="Q13" s="58"/>
      <c r="R13" s="59"/>
      <c r="S13" s="58"/>
      <c r="T13" s="59"/>
      <c r="U13" s="58"/>
      <c r="V13" s="59"/>
      <c r="W13" s="58">
        <f>$K13+VLOOKUP($B13,Tablo1[],MONTH(W$1)+4,0)</f>
        <v>1500</v>
      </c>
      <c r="X13" s="59">
        <v>1500</v>
      </c>
      <c r="Y13" s="58">
        <f>$K13+VLOOKUP($B13,Tablo1[],MONTH(Y$1)+4,0)</f>
        <v>1500</v>
      </c>
      <c r="Z13" s="59">
        <v>1500</v>
      </c>
      <c r="AA13" s="58">
        <f>$K13+VLOOKUP($B13,Tablo1[],MONTH(AA$1)+4,0)</f>
        <v>1500</v>
      </c>
      <c r="AB13" s="59"/>
      <c r="AC13" s="58">
        <f>$K13+VLOOKUP($B13,Tablo1[],MONTH(AC$1)+4,0)</f>
        <v>1500</v>
      </c>
      <c r="AD13" s="59"/>
      <c r="AE13" s="58">
        <f>$K13+VLOOKUP($B13,Tablo1[],MONTH(AE$1)+4,0)</f>
        <v>1500</v>
      </c>
      <c r="AF13" s="59"/>
      <c r="AG13" s="58">
        <f>$K13+VLOOKUP($B13,Tablo1[],MONTH(AG$1)+4,0)</f>
        <v>1500</v>
      </c>
      <c r="AH13" s="59"/>
      <c r="AI13" s="58">
        <f>$K13+VLOOKUP($B13,Tablo1[],MONTH(AI$1)+4,0)</f>
        <v>1500</v>
      </c>
      <c r="AJ13" s="59"/>
    </row>
    <row r="14" spans="1:36" ht="20.25" x14ac:dyDescent="0.25">
      <c r="A14" s="9">
        <v>12</v>
      </c>
      <c r="B14" s="57" t="s">
        <v>32</v>
      </c>
      <c r="C14" s="10" t="s">
        <v>17</v>
      </c>
      <c r="D14" s="10">
        <v>12</v>
      </c>
      <c r="E14" s="10"/>
      <c r="F14" s="11"/>
      <c r="G14" s="85" t="s">
        <v>224</v>
      </c>
      <c r="H14" s="13"/>
      <c r="I14" s="14"/>
      <c r="J14" s="13"/>
      <c r="K14" s="50">
        <v>1500</v>
      </c>
      <c r="L14" s="58"/>
      <c r="M14" s="58"/>
      <c r="N14" s="59"/>
      <c r="O14" s="58"/>
      <c r="P14" s="59"/>
      <c r="Q14" s="58"/>
      <c r="R14" s="59"/>
      <c r="S14" s="58"/>
      <c r="T14" s="59"/>
      <c r="U14" s="58"/>
      <c r="V14" s="59"/>
      <c r="W14" s="58">
        <f>$K14+VLOOKUP($B14,Tablo1[],MONTH(W$1)+4,0)</f>
        <v>1500</v>
      </c>
      <c r="X14" s="59">
        <v>1500</v>
      </c>
      <c r="Y14" s="58">
        <f>$K14+VLOOKUP($B14,Tablo1[],MONTH(Y$1)+4,0)</f>
        <v>1500</v>
      </c>
      <c r="Z14" s="59">
        <v>1500</v>
      </c>
      <c r="AA14" s="58">
        <f>$K14+VLOOKUP($B14,Tablo1[],MONTH(AA$1)+4,0)</f>
        <v>1500</v>
      </c>
      <c r="AB14" s="59"/>
      <c r="AC14" s="58">
        <f>$K14+VLOOKUP($B14,Tablo1[],MONTH(AC$1)+4,0)</f>
        <v>1500</v>
      </c>
      <c r="AD14" s="59"/>
      <c r="AE14" s="58">
        <f>$K14+VLOOKUP($B14,Tablo1[],MONTH(AE$1)+4,0)</f>
        <v>1500</v>
      </c>
      <c r="AF14" s="59"/>
      <c r="AG14" s="58">
        <f>$K14+VLOOKUP($B14,Tablo1[],MONTH(AG$1)+4,0)</f>
        <v>1500</v>
      </c>
      <c r="AH14" s="59"/>
      <c r="AI14" s="58">
        <f>$K14+VLOOKUP($B14,Tablo1[],MONTH(AI$1)+4,0)</f>
        <v>1500</v>
      </c>
      <c r="AJ14" s="59"/>
    </row>
    <row r="15" spans="1:36" ht="20.25" x14ac:dyDescent="0.25">
      <c r="A15" s="9">
        <v>13</v>
      </c>
      <c r="B15" s="57" t="s">
        <v>33</v>
      </c>
      <c r="C15" s="10" t="s">
        <v>17</v>
      </c>
      <c r="D15" s="10">
        <v>13</v>
      </c>
      <c r="E15" s="10"/>
      <c r="F15" s="11"/>
      <c r="G15" t="s">
        <v>214</v>
      </c>
      <c r="H15" s="13"/>
      <c r="I15" s="14"/>
      <c r="J15" s="13"/>
      <c r="K15" s="50">
        <v>1500</v>
      </c>
      <c r="L15" s="58"/>
      <c r="M15" s="58"/>
      <c r="N15" s="59"/>
      <c r="O15" s="58"/>
      <c r="P15" s="59"/>
      <c r="Q15" s="58"/>
      <c r="R15" s="59"/>
      <c r="S15" s="58"/>
      <c r="T15" s="59"/>
      <c r="U15" s="58"/>
      <c r="V15" s="59"/>
      <c r="W15" s="58">
        <f>$K15+VLOOKUP($B15,Tablo1[],MONTH(W$1)+4,0)</f>
        <v>1500</v>
      </c>
      <c r="X15" s="59">
        <v>1500</v>
      </c>
      <c r="Y15" s="58">
        <f>$K15+VLOOKUP($B15,Tablo1[],MONTH(Y$1)+4,0)</f>
        <v>1500</v>
      </c>
      <c r="Z15" s="59">
        <v>1500</v>
      </c>
      <c r="AA15" s="58">
        <f>$K15+VLOOKUP($B15,Tablo1[],MONTH(AA$1)+4,0)</f>
        <v>1500</v>
      </c>
      <c r="AB15" s="59"/>
      <c r="AC15" s="58">
        <f>$K15+VLOOKUP($B15,Tablo1[],MONTH(AC$1)+4,0)</f>
        <v>1500</v>
      </c>
      <c r="AD15" s="59"/>
      <c r="AE15" s="58">
        <f>$K15+VLOOKUP($B15,Tablo1[],MONTH(AE$1)+4,0)</f>
        <v>1500</v>
      </c>
      <c r="AF15" s="59"/>
      <c r="AG15" s="58">
        <f>$K15+VLOOKUP($B15,Tablo1[],MONTH(AG$1)+4,0)</f>
        <v>1500</v>
      </c>
      <c r="AH15" s="59"/>
      <c r="AI15" s="58">
        <f>$K15+VLOOKUP($B15,Tablo1[],MONTH(AI$1)+4,0)</f>
        <v>1500</v>
      </c>
      <c r="AJ15" s="59"/>
    </row>
    <row r="16" spans="1:36" ht="20.25" x14ac:dyDescent="0.25">
      <c r="A16" s="9">
        <v>14</v>
      </c>
      <c r="B16" s="57" t="s">
        <v>34</v>
      </c>
      <c r="C16" s="10" t="s">
        <v>17</v>
      </c>
      <c r="D16" s="10">
        <v>14</v>
      </c>
      <c r="E16" s="10"/>
      <c r="F16" s="11"/>
      <c r="G16" t="s">
        <v>193</v>
      </c>
      <c r="H16" s="13"/>
      <c r="I16" s="14"/>
      <c r="J16" s="13"/>
      <c r="K16" s="50">
        <v>1500</v>
      </c>
      <c r="L16" s="58"/>
      <c r="M16" s="58"/>
      <c r="N16" s="59"/>
      <c r="O16" s="58"/>
      <c r="P16" s="59"/>
      <c r="Q16" s="58"/>
      <c r="R16" s="59"/>
      <c r="S16" s="58"/>
      <c r="T16" s="59"/>
      <c r="U16" s="58"/>
      <c r="V16" s="59"/>
      <c r="W16" s="58">
        <f>$K16+VLOOKUP($B16,Tablo1[],MONTH(W$1)+4,0)</f>
        <v>1500</v>
      </c>
      <c r="X16" s="59"/>
      <c r="Y16" s="58">
        <f>$K16+VLOOKUP($B16,Tablo1[],MONTH(Y$1)+4,0)</f>
        <v>1500</v>
      </c>
      <c r="Z16" s="59"/>
      <c r="AA16" s="58">
        <f>$K16+VLOOKUP($B16,Tablo1[],MONTH(AA$1)+4,0)</f>
        <v>1500</v>
      </c>
      <c r="AB16" s="59"/>
      <c r="AC16" s="58">
        <f>$K16+VLOOKUP($B16,Tablo1[],MONTH(AC$1)+4,0)</f>
        <v>1500</v>
      </c>
      <c r="AD16" s="59"/>
      <c r="AE16" s="58">
        <f>$K16+VLOOKUP($B16,Tablo1[],MONTH(AE$1)+4,0)</f>
        <v>1500</v>
      </c>
      <c r="AF16" s="59"/>
      <c r="AG16" s="58">
        <f>$K16+VLOOKUP($B16,Tablo1[],MONTH(AG$1)+4,0)</f>
        <v>1500</v>
      </c>
      <c r="AH16" s="59"/>
      <c r="AI16" s="58">
        <f>$K16+VLOOKUP($B16,Tablo1[],MONTH(AI$1)+4,0)</f>
        <v>1500</v>
      </c>
      <c r="AJ16" s="59"/>
    </row>
    <row r="17" spans="1:36" ht="20.25" x14ac:dyDescent="0.25">
      <c r="A17" s="9">
        <v>15</v>
      </c>
      <c r="B17" s="57" t="s">
        <v>35</v>
      </c>
      <c r="C17" s="10" t="s">
        <v>17</v>
      </c>
      <c r="D17" s="10">
        <v>15</v>
      </c>
      <c r="E17" s="10"/>
      <c r="F17" s="11"/>
      <c r="G17" t="s">
        <v>194</v>
      </c>
      <c r="H17" s="13"/>
      <c r="I17" s="14"/>
      <c r="J17" s="13"/>
      <c r="K17" s="50">
        <v>1500</v>
      </c>
      <c r="L17" s="58"/>
      <c r="M17" s="58"/>
      <c r="N17" s="59"/>
      <c r="O17" s="58"/>
      <c r="P17" s="59"/>
      <c r="Q17" s="58"/>
      <c r="R17" s="59"/>
      <c r="S17" s="58"/>
      <c r="T17" s="59"/>
      <c r="U17" s="58"/>
      <c r="V17" s="59"/>
      <c r="W17" s="58">
        <f>$K17+VLOOKUP($B17,Tablo1[],MONTH(W$1)+4,0)</f>
        <v>1500</v>
      </c>
      <c r="X17" s="59">
        <v>1500</v>
      </c>
      <c r="Y17" s="58">
        <f>$K17+VLOOKUP($B17,Tablo1[],MONTH(Y$1)+4,0)</f>
        <v>1500</v>
      </c>
      <c r="Z17" s="59">
        <v>1500</v>
      </c>
      <c r="AA17" s="58">
        <f>$K17+VLOOKUP($B17,Tablo1[],MONTH(AA$1)+4,0)</f>
        <v>1500</v>
      </c>
      <c r="AB17" s="59"/>
      <c r="AC17" s="58">
        <f>$K17+VLOOKUP($B17,Tablo1[],MONTH(AC$1)+4,0)</f>
        <v>1500</v>
      </c>
      <c r="AD17" s="59"/>
      <c r="AE17" s="58">
        <f>$K17+VLOOKUP($B17,Tablo1[],MONTH(AE$1)+4,0)</f>
        <v>1500</v>
      </c>
      <c r="AF17" s="59"/>
      <c r="AG17" s="58">
        <f>$K17+VLOOKUP($B17,Tablo1[],MONTH(AG$1)+4,0)</f>
        <v>1500</v>
      </c>
      <c r="AH17" s="59"/>
      <c r="AI17" s="58">
        <f>$K17+VLOOKUP($B17,Tablo1[],MONTH(AI$1)+4,0)</f>
        <v>1500</v>
      </c>
      <c r="AJ17" s="59"/>
    </row>
    <row r="18" spans="1:36" ht="20.25" x14ac:dyDescent="0.25">
      <c r="A18" s="9">
        <v>16</v>
      </c>
      <c r="B18" s="57" t="s">
        <v>36</v>
      </c>
      <c r="C18" s="10" t="s">
        <v>17</v>
      </c>
      <c r="D18" s="10">
        <v>16</v>
      </c>
      <c r="E18" s="10"/>
      <c r="F18" s="11"/>
      <c r="G18" t="s">
        <v>195</v>
      </c>
      <c r="H18" s="13"/>
      <c r="I18" s="14"/>
      <c r="J18" s="13"/>
      <c r="K18" s="50">
        <v>1500</v>
      </c>
      <c r="L18" s="58"/>
      <c r="M18" s="58"/>
      <c r="N18" s="59"/>
      <c r="O18" s="58"/>
      <c r="P18" s="59"/>
      <c r="Q18" s="58"/>
      <c r="R18" s="59"/>
      <c r="S18" s="58"/>
      <c r="T18" s="59"/>
      <c r="U18" s="58"/>
      <c r="V18" s="59"/>
      <c r="W18" s="58">
        <f>$K18+VLOOKUP($B18,Tablo1[],MONTH(W$1)+4,0)</f>
        <v>1500</v>
      </c>
      <c r="X18" s="59">
        <v>1500</v>
      </c>
      <c r="Y18" s="58">
        <f>$K18+VLOOKUP($B18,Tablo1[],MONTH(Y$1)+4,0)</f>
        <v>1500</v>
      </c>
      <c r="Z18" s="59"/>
      <c r="AA18" s="58">
        <f>$K18+VLOOKUP($B18,Tablo1[],MONTH(AA$1)+4,0)</f>
        <v>1500</v>
      </c>
      <c r="AB18" s="59"/>
      <c r="AC18" s="58">
        <f>$K18+VLOOKUP($B18,Tablo1[],MONTH(AC$1)+4,0)</f>
        <v>1500</v>
      </c>
      <c r="AD18" s="59"/>
      <c r="AE18" s="58">
        <f>$K18+VLOOKUP($B18,Tablo1[],MONTH(AE$1)+4,0)</f>
        <v>1500</v>
      </c>
      <c r="AF18" s="59"/>
      <c r="AG18" s="58">
        <f>$K18+VLOOKUP($B18,Tablo1[],MONTH(AG$1)+4,0)</f>
        <v>1500</v>
      </c>
      <c r="AH18" s="59"/>
      <c r="AI18" s="58">
        <f>$K18+VLOOKUP($B18,Tablo1[],MONTH(AI$1)+4,0)</f>
        <v>1500</v>
      </c>
      <c r="AJ18" s="59"/>
    </row>
    <row r="19" spans="1:36" ht="20.25" x14ac:dyDescent="0.25">
      <c r="A19" s="9">
        <v>17</v>
      </c>
      <c r="B19" s="57" t="s">
        <v>37</v>
      </c>
      <c r="C19" s="10" t="s">
        <v>17</v>
      </c>
      <c r="D19" s="10">
        <v>17</v>
      </c>
      <c r="E19" s="10"/>
      <c r="F19" s="11"/>
      <c r="G19" t="s">
        <v>196</v>
      </c>
      <c r="H19" s="13"/>
      <c r="I19" s="14"/>
      <c r="J19" s="13"/>
      <c r="K19" s="50">
        <v>1500</v>
      </c>
      <c r="L19" s="58"/>
      <c r="M19" s="58"/>
      <c r="N19" s="59"/>
      <c r="O19" s="58"/>
      <c r="P19" s="59"/>
      <c r="Q19" s="58"/>
      <c r="R19" s="59"/>
      <c r="S19" s="58"/>
      <c r="T19" s="59"/>
      <c r="U19" s="58"/>
      <c r="V19" s="59"/>
      <c r="W19" s="58">
        <f>$K19+VLOOKUP($B19,Tablo1[],MONTH(W$1)+4,0)</f>
        <v>1500</v>
      </c>
      <c r="X19" s="59">
        <v>1500</v>
      </c>
      <c r="Y19" s="58">
        <f>$K19+VLOOKUP($B19,Tablo1[],MONTH(Y$1)+4,0)</f>
        <v>1500</v>
      </c>
      <c r="Z19" s="59">
        <v>1500</v>
      </c>
      <c r="AA19" s="58">
        <f>$K19+VLOOKUP($B19,Tablo1[],MONTH(AA$1)+4,0)</f>
        <v>1500</v>
      </c>
      <c r="AB19" s="59"/>
      <c r="AC19" s="58">
        <f>$K19+VLOOKUP($B19,Tablo1[],MONTH(AC$1)+4,0)</f>
        <v>1500</v>
      </c>
      <c r="AD19" s="59"/>
      <c r="AE19" s="58">
        <f>$K19+VLOOKUP($B19,Tablo1[],MONTH(AE$1)+4,0)</f>
        <v>1500</v>
      </c>
      <c r="AF19" s="59"/>
      <c r="AG19" s="58">
        <f>$K19+VLOOKUP($B19,Tablo1[],MONTH(AG$1)+4,0)</f>
        <v>1500</v>
      </c>
      <c r="AH19" s="59"/>
      <c r="AI19" s="58">
        <f>$K19+VLOOKUP($B19,Tablo1[],MONTH(AI$1)+4,0)</f>
        <v>1500</v>
      </c>
      <c r="AJ19" s="59"/>
    </row>
    <row r="20" spans="1:36" ht="20.25" x14ac:dyDescent="0.25">
      <c r="A20" s="9">
        <v>18</v>
      </c>
      <c r="B20" s="57" t="s">
        <v>38</v>
      </c>
      <c r="C20" s="10" t="s">
        <v>17</v>
      </c>
      <c r="D20" s="10">
        <v>18</v>
      </c>
      <c r="E20" s="10"/>
      <c r="F20" s="11"/>
      <c r="G20" t="s">
        <v>197</v>
      </c>
      <c r="H20" s="13"/>
      <c r="I20" s="14"/>
      <c r="J20" s="13"/>
      <c r="K20" s="50">
        <v>1500</v>
      </c>
      <c r="L20" s="58"/>
      <c r="M20" s="58"/>
      <c r="N20" s="59"/>
      <c r="O20" s="58"/>
      <c r="P20" s="59"/>
      <c r="Q20" s="58"/>
      <c r="R20" s="59"/>
      <c r="S20" s="58"/>
      <c r="T20" s="59"/>
      <c r="U20" s="58"/>
      <c r="V20" s="59"/>
      <c r="W20" s="58">
        <f>$K20+VLOOKUP($B20,Tablo1[],MONTH(W$1)+4,0)</f>
        <v>1500</v>
      </c>
      <c r="X20" s="59">
        <v>1500</v>
      </c>
      <c r="Y20" s="58">
        <f>$K20+VLOOKUP($B20,Tablo1[],MONTH(Y$1)+4,0)</f>
        <v>1500</v>
      </c>
      <c r="Z20" s="59">
        <v>1500</v>
      </c>
      <c r="AA20" s="58">
        <f>$K20+VLOOKUP($B20,Tablo1[],MONTH(AA$1)+4,0)</f>
        <v>1500</v>
      </c>
      <c r="AB20" s="59"/>
      <c r="AC20" s="58">
        <f>$K20+VLOOKUP($B20,Tablo1[],MONTH(AC$1)+4,0)</f>
        <v>1500</v>
      </c>
      <c r="AD20" s="59"/>
      <c r="AE20" s="58">
        <f>$K20+VLOOKUP($B20,Tablo1[],MONTH(AE$1)+4,0)</f>
        <v>1500</v>
      </c>
      <c r="AF20" s="59"/>
      <c r="AG20" s="58">
        <f>$K20+VLOOKUP($B20,Tablo1[],MONTH(AG$1)+4,0)</f>
        <v>1500</v>
      </c>
      <c r="AH20" s="59"/>
      <c r="AI20" s="58">
        <f>$K20+VLOOKUP($B20,Tablo1[],MONTH(AI$1)+4,0)</f>
        <v>1500</v>
      </c>
      <c r="AJ20" s="59"/>
    </row>
    <row r="21" spans="1:36" ht="20.25" x14ac:dyDescent="0.25">
      <c r="A21" s="9">
        <v>19</v>
      </c>
      <c r="B21" s="57" t="s">
        <v>39</v>
      </c>
      <c r="C21" s="10" t="s">
        <v>17</v>
      </c>
      <c r="D21" s="10">
        <v>19</v>
      </c>
      <c r="E21" s="10"/>
      <c r="F21" s="11"/>
      <c r="G21" t="s">
        <v>215</v>
      </c>
      <c r="H21" s="13"/>
      <c r="I21" s="14"/>
      <c r="J21" s="13"/>
      <c r="K21" s="50">
        <v>1500</v>
      </c>
      <c r="L21" s="58"/>
      <c r="M21" s="58"/>
      <c r="N21" s="59"/>
      <c r="O21" s="58"/>
      <c r="P21" s="59"/>
      <c r="Q21" s="58"/>
      <c r="R21" s="59"/>
      <c r="S21" s="58"/>
      <c r="T21" s="59"/>
      <c r="U21" s="58"/>
      <c r="V21" s="59"/>
      <c r="W21" s="58">
        <f>$K21+VLOOKUP($B21,Tablo1[],MONTH(W$1)+4,0)</f>
        <v>1500</v>
      </c>
      <c r="X21" s="59">
        <v>1500</v>
      </c>
      <c r="Y21" s="58">
        <f>$K21+VLOOKUP($B21,Tablo1[],MONTH(Y$1)+4,0)</f>
        <v>1500</v>
      </c>
      <c r="Z21" s="59">
        <v>1500</v>
      </c>
      <c r="AA21" s="58">
        <f>$K21+VLOOKUP($B21,Tablo1[],MONTH(AA$1)+4,0)</f>
        <v>1500</v>
      </c>
      <c r="AB21" s="59"/>
      <c r="AC21" s="58">
        <f>$K21+VLOOKUP($B21,Tablo1[],MONTH(AC$1)+4,0)</f>
        <v>1500</v>
      </c>
      <c r="AD21" s="59"/>
      <c r="AE21" s="58">
        <f>$K21+VLOOKUP($B21,Tablo1[],MONTH(AE$1)+4,0)</f>
        <v>1500</v>
      </c>
      <c r="AF21" s="59"/>
      <c r="AG21" s="58">
        <f>$K21+VLOOKUP($B21,Tablo1[],MONTH(AG$1)+4,0)</f>
        <v>1500</v>
      </c>
      <c r="AH21" s="59"/>
      <c r="AI21" s="58">
        <f>$K21+VLOOKUP($B21,Tablo1[],MONTH(AI$1)+4,0)</f>
        <v>1500</v>
      </c>
      <c r="AJ21" s="59"/>
    </row>
    <row r="22" spans="1:36" ht="20.25" x14ac:dyDescent="0.25">
      <c r="A22" s="9">
        <v>20</v>
      </c>
      <c r="B22" s="57" t="s">
        <v>40</v>
      </c>
      <c r="C22" s="10" t="s">
        <v>17</v>
      </c>
      <c r="D22" s="10">
        <v>20</v>
      </c>
      <c r="E22" s="10"/>
      <c r="F22" s="11"/>
      <c r="G22" t="s">
        <v>216</v>
      </c>
      <c r="H22" s="13"/>
      <c r="I22" s="14"/>
      <c r="J22" s="13"/>
      <c r="K22" s="50">
        <v>1500</v>
      </c>
      <c r="L22" s="58"/>
      <c r="M22" s="58"/>
      <c r="N22" s="59"/>
      <c r="O22" s="58"/>
      <c r="P22" s="59"/>
      <c r="Q22" s="58"/>
      <c r="R22" s="59"/>
      <c r="S22" s="58"/>
      <c r="T22" s="59"/>
      <c r="U22" s="58"/>
      <c r="V22" s="59"/>
      <c r="W22" s="58">
        <f>$K22+VLOOKUP($B22,Tablo1[],MONTH(W$1)+4,0)</f>
        <v>1500</v>
      </c>
      <c r="X22" s="59"/>
      <c r="Y22" s="58">
        <f>$K22+VLOOKUP($B22,Tablo1[],MONTH(Y$1)+4,0)</f>
        <v>1500</v>
      </c>
      <c r="Z22" s="59"/>
      <c r="AA22" s="58">
        <f>$K22+VLOOKUP($B22,Tablo1[],MONTH(AA$1)+4,0)</f>
        <v>1500</v>
      </c>
      <c r="AB22" s="59"/>
      <c r="AC22" s="58">
        <f>$K22+VLOOKUP($B22,Tablo1[],MONTH(AC$1)+4,0)</f>
        <v>1500</v>
      </c>
      <c r="AD22" s="59"/>
      <c r="AE22" s="58">
        <f>$K22+VLOOKUP($B22,Tablo1[],MONTH(AE$1)+4,0)</f>
        <v>1500</v>
      </c>
      <c r="AF22" s="59"/>
      <c r="AG22" s="58">
        <f>$K22+VLOOKUP($B22,Tablo1[],MONTH(AG$1)+4,0)</f>
        <v>1500</v>
      </c>
      <c r="AH22" s="59"/>
      <c r="AI22" s="58">
        <f>$K22+VLOOKUP($B22,Tablo1[],MONTH(AI$1)+4,0)</f>
        <v>1500</v>
      </c>
      <c r="AJ22" s="59"/>
    </row>
    <row r="23" spans="1:36" ht="20.25" x14ac:dyDescent="0.25">
      <c r="A23" s="9">
        <v>21</v>
      </c>
      <c r="B23" s="57" t="s">
        <v>41</v>
      </c>
      <c r="C23" s="10" t="s">
        <v>17</v>
      </c>
      <c r="D23" s="10">
        <v>21</v>
      </c>
      <c r="E23" s="10"/>
      <c r="F23" s="11"/>
      <c r="G23" t="s">
        <v>217</v>
      </c>
      <c r="H23" s="13"/>
      <c r="I23" s="14"/>
      <c r="J23" s="13"/>
      <c r="K23" s="50">
        <v>1500</v>
      </c>
      <c r="L23" s="58"/>
      <c r="M23" s="58"/>
      <c r="N23" s="59"/>
      <c r="O23" s="58"/>
      <c r="P23" s="59"/>
      <c r="Q23" s="58"/>
      <c r="R23" s="59"/>
      <c r="S23" s="58"/>
      <c r="T23" s="59"/>
      <c r="U23" s="58"/>
      <c r="V23" s="59"/>
      <c r="W23" s="58">
        <f>$K23+VLOOKUP($B23,Tablo1[],MONTH(W$1)+4,0)</f>
        <v>1500</v>
      </c>
      <c r="X23" s="59"/>
      <c r="Y23" s="58">
        <f>$K23+VLOOKUP($B23,Tablo1[],MONTH(Y$1)+4,0)</f>
        <v>1500</v>
      </c>
      <c r="Z23" s="59"/>
      <c r="AA23" s="58">
        <f>$K23+VLOOKUP($B23,Tablo1[],MONTH(AA$1)+4,0)</f>
        <v>1500</v>
      </c>
      <c r="AB23" s="59"/>
      <c r="AC23" s="58">
        <f>$K23+VLOOKUP($B23,Tablo1[],MONTH(AC$1)+4,0)</f>
        <v>1500</v>
      </c>
      <c r="AD23" s="59"/>
      <c r="AE23" s="58">
        <f>$K23+VLOOKUP($B23,Tablo1[],MONTH(AE$1)+4,0)</f>
        <v>1500</v>
      </c>
      <c r="AF23" s="59"/>
      <c r="AG23" s="58">
        <f>$K23+VLOOKUP($B23,Tablo1[],MONTH(AG$1)+4,0)</f>
        <v>1500</v>
      </c>
      <c r="AH23" s="59"/>
      <c r="AI23" s="58">
        <f>$K23+VLOOKUP($B23,Tablo1[],MONTH(AI$1)+4,0)</f>
        <v>1500</v>
      </c>
      <c r="AJ23" s="59"/>
    </row>
    <row r="24" spans="1:36" ht="20.25" x14ac:dyDescent="0.25">
      <c r="A24" s="9">
        <v>22</v>
      </c>
      <c r="B24" s="57" t="s">
        <v>42</v>
      </c>
      <c r="C24" s="10" t="s">
        <v>17</v>
      </c>
      <c r="D24" s="10">
        <v>22</v>
      </c>
      <c r="E24" s="10"/>
      <c r="F24" s="11"/>
      <c r="G24" t="s">
        <v>198</v>
      </c>
      <c r="H24" s="13"/>
      <c r="I24" s="14"/>
      <c r="J24" s="13"/>
      <c r="K24" s="50">
        <v>1500</v>
      </c>
      <c r="L24" s="58"/>
      <c r="M24" s="58"/>
      <c r="N24" s="59"/>
      <c r="O24" s="58"/>
      <c r="P24" s="59"/>
      <c r="Q24" s="58"/>
      <c r="R24" s="59"/>
      <c r="S24" s="58"/>
      <c r="T24" s="59"/>
      <c r="U24" s="58"/>
      <c r="V24" s="59"/>
      <c r="W24" s="58">
        <f>$K24+VLOOKUP($B24,Tablo1[],MONTH(W$1)+4,0)</f>
        <v>1500</v>
      </c>
      <c r="X24" s="59"/>
      <c r="Y24" s="58">
        <f>$K24+VLOOKUP($B24,Tablo1[],MONTH(Y$1)+4,0)</f>
        <v>1500</v>
      </c>
      <c r="Z24" s="59"/>
      <c r="AA24" s="58">
        <f>$K24+VLOOKUP($B24,Tablo1[],MONTH(AA$1)+4,0)</f>
        <v>1500</v>
      </c>
      <c r="AB24" s="59"/>
      <c r="AC24" s="58">
        <f>$K24+VLOOKUP($B24,Tablo1[],MONTH(AC$1)+4,0)</f>
        <v>1500</v>
      </c>
      <c r="AD24" s="59"/>
      <c r="AE24" s="58">
        <f>$K24+VLOOKUP($B24,Tablo1[],MONTH(AE$1)+4,0)</f>
        <v>1500</v>
      </c>
      <c r="AF24" s="59"/>
      <c r="AG24" s="58">
        <f>$K24+VLOOKUP($B24,Tablo1[],MONTH(AG$1)+4,0)</f>
        <v>1500</v>
      </c>
      <c r="AH24" s="59"/>
      <c r="AI24" s="58">
        <f>$K24+VLOOKUP($B24,Tablo1[],MONTH(AI$1)+4,0)</f>
        <v>1500</v>
      </c>
      <c r="AJ24" s="59"/>
    </row>
    <row r="25" spans="1:36" ht="20.25" x14ac:dyDescent="0.25">
      <c r="A25" s="9">
        <v>23</v>
      </c>
      <c r="B25" s="57" t="s">
        <v>43</v>
      </c>
      <c r="C25" s="10" t="s">
        <v>17</v>
      </c>
      <c r="D25" s="10">
        <v>23</v>
      </c>
      <c r="E25" s="10"/>
      <c r="F25" s="11"/>
      <c r="G25" t="s">
        <v>199</v>
      </c>
      <c r="H25" s="13"/>
      <c r="I25" s="14"/>
      <c r="J25" s="13"/>
      <c r="K25" s="50">
        <v>1500</v>
      </c>
      <c r="L25" s="58"/>
      <c r="M25" s="58"/>
      <c r="N25" s="59"/>
      <c r="O25" s="58"/>
      <c r="P25" s="59"/>
      <c r="Q25" s="58"/>
      <c r="R25" s="59"/>
      <c r="S25" s="58"/>
      <c r="T25" s="59"/>
      <c r="U25" s="58"/>
      <c r="V25" s="59"/>
      <c r="W25" s="58">
        <f>$K25+VLOOKUP($B25,Tablo1[],MONTH(W$1)+4,0)</f>
        <v>1500</v>
      </c>
      <c r="X25" s="59"/>
      <c r="Y25" s="58">
        <f>$K25+VLOOKUP($B25,Tablo1[],MONTH(Y$1)+4,0)</f>
        <v>1500</v>
      </c>
      <c r="Z25" s="59"/>
      <c r="AA25" s="58">
        <f>$K25+VLOOKUP($B25,Tablo1[],MONTH(AA$1)+4,0)</f>
        <v>1500</v>
      </c>
      <c r="AB25" s="59"/>
      <c r="AC25" s="58">
        <f>$K25+VLOOKUP($B25,Tablo1[],MONTH(AC$1)+4,0)</f>
        <v>1500</v>
      </c>
      <c r="AD25" s="59"/>
      <c r="AE25" s="58">
        <f>$K25+VLOOKUP($B25,Tablo1[],MONTH(AE$1)+4,0)</f>
        <v>1500</v>
      </c>
      <c r="AF25" s="59"/>
      <c r="AG25" s="58">
        <f>$K25+VLOOKUP($B25,Tablo1[],MONTH(AG$1)+4,0)</f>
        <v>1500</v>
      </c>
      <c r="AH25" s="59"/>
      <c r="AI25" s="58">
        <f>$K25+VLOOKUP($B25,Tablo1[],MONTH(AI$1)+4,0)</f>
        <v>1500</v>
      </c>
      <c r="AJ25" s="59"/>
    </row>
    <row r="26" spans="1:36" ht="20.25" x14ac:dyDescent="0.25">
      <c r="A26" s="9">
        <v>24</v>
      </c>
      <c r="B26" s="57" t="s">
        <v>44</v>
      </c>
      <c r="C26" s="10" t="s">
        <v>17</v>
      </c>
      <c r="D26" s="10">
        <v>24</v>
      </c>
      <c r="E26" s="10"/>
      <c r="F26" s="11"/>
      <c r="G26" t="s">
        <v>200</v>
      </c>
      <c r="H26" s="13"/>
      <c r="I26" s="14"/>
      <c r="J26" s="13"/>
      <c r="K26" s="50">
        <v>1500</v>
      </c>
      <c r="L26" s="58"/>
      <c r="M26" s="58"/>
      <c r="N26" s="59"/>
      <c r="O26" s="58"/>
      <c r="P26" s="59"/>
      <c r="Q26" s="58"/>
      <c r="R26" s="59"/>
      <c r="S26" s="58"/>
      <c r="T26" s="59"/>
      <c r="U26" s="58"/>
      <c r="V26" s="59"/>
      <c r="W26" s="58">
        <f>$K26+VLOOKUP($B26,Tablo1[],MONTH(W$1)+4,0)</f>
        <v>1500</v>
      </c>
      <c r="X26" s="59">
        <v>1500</v>
      </c>
      <c r="Y26" s="58">
        <f>$K26+VLOOKUP($B26,Tablo1[],MONTH(Y$1)+4,0)</f>
        <v>1500</v>
      </c>
      <c r="Z26" s="59">
        <v>1500</v>
      </c>
      <c r="AA26" s="58">
        <f>$K26+VLOOKUP($B26,Tablo1[],MONTH(AA$1)+4,0)</f>
        <v>1500</v>
      </c>
      <c r="AB26" s="59"/>
      <c r="AC26" s="58">
        <f>$K26+VLOOKUP($B26,Tablo1[],MONTH(AC$1)+4,0)</f>
        <v>1500</v>
      </c>
      <c r="AD26" s="59"/>
      <c r="AE26" s="58">
        <f>$K26+VLOOKUP($B26,Tablo1[],MONTH(AE$1)+4,0)</f>
        <v>1500</v>
      </c>
      <c r="AF26" s="59"/>
      <c r="AG26" s="58">
        <f>$K26+VLOOKUP($B26,Tablo1[],MONTH(AG$1)+4,0)</f>
        <v>1500</v>
      </c>
      <c r="AH26" s="59"/>
      <c r="AI26" s="58">
        <f>$K26+VLOOKUP($B26,Tablo1[],MONTH(AI$1)+4,0)</f>
        <v>1500</v>
      </c>
      <c r="AJ26" s="59"/>
    </row>
    <row r="27" spans="1:36" ht="20.25" x14ac:dyDescent="0.25">
      <c r="A27" s="9">
        <v>25</v>
      </c>
      <c r="B27" s="57" t="s">
        <v>45</v>
      </c>
      <c r="C27" s="10" t="s">
        <v>17</v>
      </c>
      <c r="D27" s="10">
        <v>25</v>
      </c>
      <c r="E27" s="10"/>
      <c r="F27" s="11"/>
      <c r="G27" t="s">
        <v>201</v>
      </c>
      <c r="H27" s="13"/>
      <c r="I27" s="14"/>
      <c r="J27" s="13"/>
      <c r="K27" s="50">
        <v>1500</v>
      </c>
      <c r="L27" s="58"/>
      <c r="M27" s="58"/>
      <c r="N27" s="59"/>
      <c r="O27" s="58"/>
      <c r="P27" s="59"/>
      <c r="Q27" s="58"/>
      <c r="R27" s="59"/>
      <c r="S27" s="58"/>
      <c r="T27" s="59"/>
      <c r="U27" s="58"/>
      <c r="V27" s="59"/>
      <c r="W27" s="58">
        <f>$K27+VLOOKUP($B27,Tablo1[],MONTH(W$1)+4,0)</f>
        <v>1500</v>
      </c>
      <c r="X27" s="59"/>
      <c r="Y27" s="58">
        <f>$K27+VLOOKUP($B27,Tablo1[],MONTH(Y$1)+4,0)</f>
        <v>1500</v>
      </c>
      <c r="Z27" s="59"/>
      <c r="AA27" s="58">
        <f>$K27+VLOOKUP($B27,Tablo1[],MONTH(AA$1)+4,0)</f>
        <v>1500</v>
      </c>
      <c r="AB27" s="59"/>
      <c r="AC27" s="58">
        <f>$K27+VLOOKUP($B27,Tablo1[],MONTH(AC$1)+4,0)</f>
        <v>1500</v>
      </c>
      <c r="AD27" s="59"/>
      <c r="AE27" s="58">
        <f>$K27+VLOOKUP($B27,Tablo1[],MONTH(AE$1)+4,0)</f>
        <v>1500</v>
      </c>
      <c r="AF27" s="59"/>
      <c r="AG27" s="58">
        <f>$K27+VLOOKUP($B27,Tablo1[],MONTH(AG$1)+4,0)</f>
        <v>1500</v>
      </c>
      <c r="AH27" s="59"/>
      <c r="AI27" s="58">
        <f>$K27+VLOOKUP($B27,Tablo1[],MONTH(AI$1)+4,0)</f>
        <v>1500</v>
      </c>
      <c r="AJ27" s="59"/>
    </row>
    <row r="28" spans="1:36" ht="20.25" x14ac:dyDescent="0.25">
      <c r="A28" s="9">
        <v>26</v>
      </c>
      <c r="B28" s="57" t="s">
        <v>46</v>
      </c>
      <c r="C28" s="10" t="s">
        <v>17</v>
      </c>
      <c r="D28" s="10">
        <v>26</v>
      </c>
      <c r="E28" s="10"/>
      <c r="F28" s="11"/>
      <c r="G28" t="s">
        <v>202</v>
      </c>
      <c r="H28" s="13"/>
      <c r="I28" s="14"/>
      <c r="J28" s="13"/>
      <c r="K28" s="50">
        <v>1500</v>
      </c>
      <c r="L28" s="58"/>
      <c r="M28" s="58"/>
      <c r="N28" s="59"/>
      <c r="O28" s="58"/>
      <c r="P28" s="59"/>
      <c r="Q28" s="58"/>
      <c r="R28" s="59"/>
      <c r="S28" s="58"/>
      <c r="T28" s="59"/>
      <c r="U28" s="58"/>
      <c r="V28" s="59"/>
      <c r="W28" s="58">
        <f>$K28+VLOOKUP($B28,Tablo1[],MONTH(W$1)+4,0)</f>
        <v>1500</v>
      </c>
      <c r="X28" s="59">
        <v>1500</v>
      </c>
      <c r="Y28" s="58">
        <f>$K28+VLOOKUP($B28,Tablo1[],MONTH(Y$1)+4,0)</f>
        <v>1500</v>
      </c>
      <c r="Z28" s="59">
        <v>1500</v>
      </c>
      <c r="AA28" s="58">
        <f>$K28+VLOOKUP($B28,Tablo1[],MONTH(AA$1)+4,0)</f>
        <v>1500</v>
      </c>
      <c r="AB28" s="59"/>
      <c r="AC28" s="58">
        <f>$K28+VLOOKUP($B28,Tablo1[],MONTH(AC$1)+4,0)</f>
        <v>1500</v>
      </c>
      <c r="AD28" s="59"/>
      <c r="AE28" s="58">
        <f>$K28+VLOOKUP($B28,Tablo1[],MONTH(AE$1)+4,0)</f>
        <v>1500</v>
      </c>
      <c r="AF28" s="59"/>
      <c r="AG28" s="58">
        <f>$K28+VLOOKUP($B28,Tablo1[],MONTH(AG$1)+4,0)</f>
        <v>1500</v>
      </c>
      <c r="AH28" s="59"/>
      <c r="AI28" s="58">
        <f>$K28+VLOOKUP($B28,Tablo1[],MONTH(AI$1)+4,0)</f>
        <v>1500</v>
      </c>
      <c r="AJ28" s="59"/>
    </row>
    <row r="29" spans="1:36" ht="20.25" x14ac:dyDescent="0.25">
      <c r="A29" s="9">
        <v>27</v>
      </c>
      <c r="B29" s="57" t="s">
        <v>47</v>
      </c>
      <c r="C29" s="10" t="s">
        <v>17</v>
      </c>
      <c r="D29" s="10">
        <v>27</v>
      </c>
      <c r="E29" s="10"/>
      <c r="F29" s="11"/>
      <c r="G29" t="s">
        <v>218</v>
      </c>
      <c r="H29" s="13"/>
      <c r="I29" s="14"/>
      <c r="J29" s="13"/>
      <c r="K29" s="50">
        <v>1500</v>
      </c>
      <c r="L29" s="58"/>
      <c r="M29" s="58"/>
      <c r="N29" s="59"/>
      <c r="O29" s="58"/>
      <c r="P29" s="59"/>
      <c r="Q29" s="58"/>
      <c r="R29" s="59"/>
      <c r="S29" s="58"/>
      <c r="T29" s="59"/>
      <c r="U29" s="58"/>
      <c r="V29" s="59"/>
      <c r="W29" s="58">
        <f>$K29+VLOOKUP($B29,Tablo1[],MONTH(W$1)+4,0)</f>
        <v>1500</v>
      </c>
      <c r="X29" s="59"/>
      <c r="Y29" s="58">
        <f>$K29+VLOOKUP($B29,Tablo1[],MONTH(Y$1)+4,0)</f>
        <v>1500</v>
      </c>
      <c r="Z29" s="59"/>
      <c r="AA29" s="58">
        <f>$K29+VLOOKUP($B29,Tablo1[],MONTH(AA$1)+4,0)</f>
        <v>1500</v>
      </c>
      <c r="AB29" s="59"/>
      <c r="AC29" s="58">
        <f>$K29+VLOOKUP($B29,Tablo1[],MONTH(AC$1)+4,0)</f>
        <v>1500</v>
      </c>
      <c r="AD29" s="59"/>
      <c r="AE29" s="58">
        <f>$K29+VLOOKUP($B29,Tablo1[],MONTH(AE$1)+4,0)</f>
        <v>1500</v>
      </c>
      <c r="AF29" s="59"/>
      <c r="AG29" s="58">
        <f>$K29+VLOOKUP($B29,Tablo1[],MONTH(AG$1)+4,0)</f>
        <v>1500</v>
      </c>
      <c r="AH29" s="59"/>
      <c r="AI29" s="58">
        <f>$K29+VLOOKUP($B29,Tablo1[],MONTH(AI$1)+4,0)</f>
        <v>1500</v>
      </c>
      <c r="AJ29" s="59"/>
    </row>
    <row r="30" spans="1:36" ht="20.25" x14ac:dyDescent="0.25">
      <c r="A30" s="9">
        <v>1</v>
      </c>
      <c r="B30" s="57" t="s">
        <v>48</v>
      </c>
      <c r="C30" s="15" t="s">
        <v>49</v>
      </c>
      <c r="D30" s="15">
        <v>0</v>
      </c>
      <c r="E30" s="15"/>
      <c r="F30" s="16"/>
      <c r="G30" s="12" t="s">
        <v>219</v>
      </c>
      <c r="H30" s="25"/>
      <c r="I30" s="19"/>
      <c r="J30" s="25"/>
      <c r="K30" s="50">
        <v>1500</v>
      </c>
      <c r="L30" s="58"/>
      <c r="M30" s="58"/>
      <c r="N30" s="59"/>
      <c r="O30" s="58"/>
      <c r="P30" s="59"/>
      <c r="Q30" s="58"/>
      <c r="R30" s="59"/>
      <c r="S30" s="58"/>
      <c r="T30" s="59"/>
      <c r="U30" s="58"/>
      <c r="V30" s="59"/>
      <c r="W30" s="58">
        <f>$K30+VLOOKUP($B30,Tablo1[],MONTH(W$1)+4,0)</f>
        <v>1500</v>
      </c>
      <c r="X30" s="59"/>
      <c r="Y30" s="58">
        <f>$K30+VLOOKUP($B30,Tablo1[],MONTH(Y$1)+4,0)</f>
        <v>1500</v>
      </c>
      <c r="Z30" s="59"/>
      <c r="AA30" s="58">
        <f>$K30+VLOOKUP($B30,Tablo1[],MONTH(AA$1)+4,0)</f>
        <v>1500</v>
      </c>
      <c r="AB30" s="59"/>
      <c r="AC30" s="58">
        <f>$K30+VLOOKUP($B30,Tablo1[],MONTH(AC$1)+4,0)</f>
        <v>1500</v>
      </c>
      <c r="AD30" s="59"/>
      <c r="AE30" s="58">
        <f>$K30+VLOOKUP($B30,Tablo1[],MONTH(AE$1)+4,0)</f>
        <v>1500</v>
      </c>
      <c r="AF30" s="59"/>
      <c r="AG30" s="58">
        <f>$K30+VLOOKUP($B30,Tablo1[],MONTH(AG$1)+4,0)</f>
        <v>1500</v>
      </c>
      <c r="AH30" s="59"/>
      <c r="AI30" s="58">
        <f>$K30+VLOOKUP($B30,Tablo1[],MONTH(AI$1)+4,0)</f>
        <v>1500</v>
      </c>
      <c r="AJ30" s="59"/>
    </row>
    <row r="31" spans="1:36" ht="20.25" x14ac:dyDescent="0.25">
      <c r="A31" s="9">
        <v>2</v>
      </c>
      <c r="B31" s="57" t="s">
        <v>50</v>
      </c>
      <c r="C31" s="15" t="s">
        <v>49</v>
      </c>
      <c r="D31" s="15">
        <v>1</v>
      </c>
      <c r="E31" s="15"/>
      <c r="F31" s="16"/>
      <c r="G31" t="s">
        <v>203</v>
      </c>
      <c r="H31" s="13"/>
      <c r="I31" s="14"/>
      <c r="J31" s="13"/>
      <c r="K31" s="50">
        <v>1500</v>
      </c>
      <c r="L31" s="58"/>
      <c r="M31" s="58"/>
      <c r="N31" s="59"/>
      <c r="O31" s="58"/>
      <c r="P31" s="59"/>
      <c r="Q31" s="58"/>
      <c r="R31" s="59"/>
      <c r="S31" s="58"/>
      <c r="T31" s="59"/>
      <c r="U31" s="58"/>
      <c r="V31" s="59"/>
      <c r="W31" s="58">
        <f>$K31+VLOOKUP($B31,Tablo1[],MONTH(W$1)+4,0)</f>
        <v>1500</v>
      </c>
      <c r="X31" s="59"/>
      <c r="Y31" s="58">
        <f>$K31+VLOOKUP($B31,Tablo1[],MONTH(Y$1)+4,0)</f>
        <v>1500</v>
      </c>
      <c r="Z31" s="59"/>
      <c r="AA31" s="58">
        <f>$K31+VLOOKUP($B31,Tablo1[],MONTH(AA$1)+4,0)</f>
        <v>1500</v>
      </c>
      <c r="AB31" s="59"/>
      <c r="AC31" s="58">
        <f>$K31+VLOOKUP($B31,Tablo1[],MONTH(AC$1)+4,0)</f>
        <v>1500</v>
      </c>
      <c r="AD31" s="59"/>
      <c r="AE31" s="58">
        <f>$K31+VLOOKUP($B31,Tablo1[],MONTH(AE$1)+4,0)</f>
        <v>1500</v>
      </c>
      <c r="AF31" s="59"/>
      <c r="AG31" s="58">
        <f>$K31+VLOOKUP($B31,Tablo1[],MONTH(AG$1)+4,0)</f>
        <v>1500</v>
      </c>
      <c r="AH31" s="59"/>
      <c r="AI31" s="58">
        <f>$K31+VLOOKUP($B31,Tablo1[],MONTH(AI$1)+4,0)</f>
        <v>1500</v>
      </c>
      <c r="AJ31" s="59"/>
    </row>
    <row r="32" spans="1:36" ht="20.25" x14ac:dyDescent="0.25">
      <c r="A32" s="9">
        <v>3</v>
      </c>
      <c r="B32" s="57" t="s">
        <v>51</v>
      </c>
      <c r="C32" s="15" t="s">
        <v>49</v>
      </c>
      <c r="D32" s="15">
        <v>2</v>
      </c>
      <c r="E32" s="15"/>
      <c r="F32" s="16"/>
      <c r="G32" t="s">
        <v>188</v>
      </c>
      <c r="H32" s="13"/>
      <c r="I32" s="14"/>
      <c r="J32" s="13"/>
      <c r="K32" s="50">
        <v>1500</v>
      </c>
      <c r="L32" s="58"/>
      <c r="M32" s="58"/>
      <c r="N32" s="59"/>
      <c r="O32" s="58"/>
      <c r="P32" s="59"/>
      <c r="Q32" s="58"/>
      <c r="R32" s="59"/>
      <c r="S32" s="58"/>
      <c r="T32" s="59"/>
      <c r="U32" s="58"/>
      <c r="V32" s="59"/>
      <c r="W32" s="58">
        <f>$K32+VLOOKUP($B32,Tablo1[],MONTH(W$1)+4,0)</f>
        <v>1500</v>
      </c>
      <c r="X32" s="59"/>
      <c r="Y32" s="58">
        <f>$K32+VLOOKUP($B32,Tablo1[],MONTH(Y$1)+4,0)</f>
        <v>1500</v>
      </c>
      <c r="Z32" s="59"/>
      <c r="AA32" s="58">
        <f>$K32+VLOOKUP($B32,Tablo1[],MONTH(AA$1)+4,0)</f>
        <v>1500</v>
      </c>
      <c r="AB32" s="59"/>
      <c r="AC32" s="58">
        <f>$K32+VLOOKUP($B32,Tablo1[],MONTH(AC$1)+4,0)</f>
        <v>1500</v>
      </c>
      <c r="AD32" s="59"/>
      <c r="AE32" s="58">
        <f>$K32+VLOOKUP($B32,Tablo1[],MONTH(AE$1)+4,0)</f>
        <v>1500</v>
      </c>
      <c r="AF32" s="59"/>
      <c r="AG32" s="58">
        <f>$K32+VLOOKUP($B32,Tablo1[],MONTH(AG$1)+4,0)</f>
        <v>1500</v>
      </c>
      <c r="AH32" s="59"/>
      <c r="AI32" s="58">
        <f>$K32+VLOOKUP($B32,Tablo1[],MONTH(AI$1)+4,0)</f>
        <v>1500</v>
      </c>
      <c r="AJ32" s="59"/>
    </row>
    <row r="33" spans="1:36" ht="20.25" x14ac:dyDescent="0.25">
      <c r="A33" s="9">
        <v>4</v>
      </c>
      <c r="B33" s="57" t="s">
        <v>52</v>
      </c>
      <c r="C33" s="15" t="s">
        <v>49</v>
      </c>
      <c r="D33" s="15">
        <v>3</v>
      </c>
      <c r="E33" s="15"/>
      <c r="F33" s="16"/>
      <c r="G33" t="s">
        <v>218</v>
      </c>
      <c r="H33" s="13"/>
      <c r="I33" s="14"/>
      <c r="J33" s="13"/>
      <c r="K33" s="50">
        <v>1500</v>
      </c>
      <c r="L33" s="58"/>
      <c r="M33" s="58"/>
      <c r="N33" s="59"/>
      <c r="O33" s="58"/>
      <c r="P33" s="59"/>
      <c r="Q33" s="58"/>
      <c r="R33" s="59"/>
      <c r="S33" s="58"/>
      <c r="T33" s="59"/>
      <c r="U33" s="58"/>
      <c r="V33" s="59"/>
      <c r="W33" s="58">
        <f>$K33+VLOOKUP($B33,Tablo1[],MONTH(W$1)+4,0)</f>
        <v>1500</v>
      </c>
      <c r="X33" s="59"/>
      <c r="Y33" s="58">
        <f>$K33+VLOOKUP($B33,Tablo1[],MONTH(Y$1)+4,0)</f>
        <v>1500</v>
      </c>
      <c r="Z33" s="59"/>
      <c r="AA33" s="58">
        <f>$K33+VLOOKUP($B33,Tablo1[],MONTH(AA$1)+4,0)</f>
        <v>1500</v>
      </c>
      <c r="AB33" s="59"/>
      <c r="AC33" s="58">
        <f>$K33+VLOOKUP($B33,Tablo1[],MONTH(AC$1)+4,0)</f>
        <v>1500</v>
      </c>
      <c r="AD33" s="59"/>
      <c r="AE33" s="58">
        <f>$K33+VLOOKUP($B33,Tablo1[],MONTH(AE$1)+4,0)</f>
        <v>1500</v>
      </c>
      <c r="AF33" s="59"/>
      <c r="AG33" s="58">
        <f>$K33+VLOOKUP($B33,Tablo1[],MONTH(AG$1)+4,0)</f>
        <v>1500</v>
      </c>
      <c r="AH33" s="59"/>
      <c r="AI33" s="58">
        <f>$K33+VLOOKUP($B33,Tablo1[],MONTH(AI$1)+4,0)</f>
        <v>1500</v>
      </c>
      <c r="AJ33" s="59"/>
    </row>
    <row r="34" spans="1:36" ht="20.25" x14ac:dyDescent="0.25">
      <c r="A34" s="9">
        <v>5</v>
      </c>
      <c r="B34" s="57" t="s">
        <v>53</v>
      </c>
      <c r="C34" s="15" t="s">
        <v>49</v>
      </c>
      <c r="D34" s="15">
        <v>4</v>
      </c>
      <c r="E34" s="15"/>
      <c r="F34" s="16"/>
      <c r="G34" t="s">
        <v>204</v>
      </c>
      <c r="H34" s="13"/>
      <c r="I34" s="14"/>
      <c r="J34" s="13"/>
      <c r="K34" s="50">
        <v>1500</v>
      </c>
      <c r="L34" s="58"/>
      <c r="M34" s="58"/>
      <c r="N34" s="59"/>
      <c r="O34" s="58"/>
      <c r="P34" s="59"/>
      <c r="Q34" s="58"/>
      <c r="R34" s="59"/>
      <c r="S34" s="58"/>
      <c r="T34" s="59"/>
      <c r="U34" s="58"/>
      <c r="V34" s="59"/>
      <c r="W34" s="58">
        <f>$K34+VLOOKUP($B34,Tablo1[],MONTH(W$1)+4,0)</f>
        <v>1500</v>
      </c>
      <c r="X34" s="59"/>
      <c r="Y34" s="58">
        <f>$K34+VLOOKUP($B34,Tablo1[],MONTH(Y$1)+4,0)</f>
        <v>1500</v>
      </c>
      <c r="Z34" s="59"/>
      <c r="AA34" s="58">
        <f>$K34+VLOOKUP($B34,Tablo1[],MONTH(AA$1)+4,0)</f>
        <v>1500</v>
      </c>
      <c r="AB34" s="59"/>
      <c r="AC34" s="58">
        <f>$K34+VLOOKUP($B34,Tablo1[],MONTH(AC$1)+4,0)</f>
        <v>1500</v>
      </c>
      <c r="AD34" s="59"/>
      <c r="AE34" s="58">
        <f>$K34+VLOOKUP($B34,Tablo1[],MONTH(AE$1)+4,0)</f>
        <v>1500</v>
      </c>
      <c r="AF34" s="59"/>
      <c r="AG34" s="58">
        <f>$K34+VLOOKUP($B34,Tablo1[],MONTH(AG$1)+4,0)</f>
        <v>1500</v>
      </c>
      <c r="AH34" s="59"/>
      <c r="AI34" s="58">
        <f>$K34+VLOOKUP($B34,Tablo1[],MONTH(AI$1)+4,0)</f>
        <v>1500</v>
      </c>
      <c r="AJ34" s="59"/>
    </row>
    <row r="35" spans="1:36" ht="20.25" x14ac:dyDescent="0.25">
      <c r="A35" s="9">
        <v>6</v>
      </c>
      <c r="B35" s="57" t="s">
        <v>54</v>
      </c>
      <c r="C35" s="15" t="s">
        <v>49</v>
      </c>
      <c r="D35" s="15">
        <v>5</v>
      </c>
      <c r="E35" s="15"/>
      <c r="F35" s="16"/>
      <c r="G35" t="s">
        <v>203</v>
      </c>
      <c r="H35" s="13"/>
      <c r="I35" s="14"/>
      <c r="J35" s="13"/>
      <c r="K35" s="50">
        <v>1500</v>
      </c>
      <c r="L35" s="58"/>
      <c r="M35" s="58"/>
      <c r="N35" s="59"/>
      <c r="O35" s="58"/>
      <c r="P35" s="59"/>
      <c r="Q35" s="58"/>
      <c r="R35" s="59"/>
      <c r="S35" s="58"/>
      <c r="T35" s="59"/>
      <c r="U35" s="58"/>
      <c r="V35" s="59"/>
      <c r="W35" s="58">
        <f>$K35+VLOOKUP($B35,Tablo1[],MONTH(W$1)+4,0)</f>
        <v>1500</v>
      </c>
      <c r="X35" s="59"/>
      <c r="Y35" s="58">
        <f>$K35+VLOOKUP($B35,Tablo1[],MONTH(Y$1)+4,0)</f>
        <v>1500</v>
      </c>
      <c r="Z35" s="59"/>
      <c r="AA35" s="58">
        <f>$K35+VLOOKUP($B35,Tablo1[],MONTH(AA$1)+4,0)</f>
        <v>1500</v>
      </c>
      <c r="AB35" s="59"/>
      <c r="AC35" s="58">
        <f>$K35+VLOOKUP($B35,Tablo1[],MONTH(AC$1)+4,0)</f>
        <v>1500</v>
      </c>
      <c r="AD35" s="59"/>
      <c r="AE35" s="58">
        <f>$K35+VLOOKUP($B35,Tablo1[],MONTH(AE$1)+4,0)</f>
        <v>1500</v>
      </c>
      <c r="AF35" s="59"/>
      <c r="AG35" s="58">
        <f>$K35+VLOOKUP($B35,Tablo1[],MONTH(AG$1)+4,0)</f>
        <v>1500</v>
      </c>
      <c r="AH35" s="59"/>
      <c r="AI35" s="58">
        <f>$K35+VLOOKUP($B35,Tablo1[],MONTH(AI$1)+4,0)</f>
        <v>1500</v>
      </c>
      <c r="AJ35" s="59"/>
    </row>
    <row r="36" spans="1:36" ht="20.25" x14ac:dyDescent="0.25">
      <c r="A36" s="9">
        <v>7</v>
      </c>
      <c r="B36" s="57" t="s">
        <v>55</v>
      </c>
      <c r="C36" s="15" t="s">
        <v>49</v>
      </c>
      <c r="D36" s="15">
        <v>6</v>
      </c>
      <c r="E36" s="15"/>
      <c r="F36" s="16"/>
      <c r="G36" t="s">
        <v>205</v>
      </c>
      <c r="H36" s="13"/>
      <c r="I36" s="14"/>
      <c r="J36" s="13"/>
      <c r="K36" s="50">
        <v>1500</v>
      </c>
      <c r="L36" s="58"/>
      <c r="M36" s="58"/>
      <c r="N36" s="59"/>
      <c r="O36" s="58"/>
      <c r="P36" s="59"/>
      <c r="Q36" s="58"/>
      <c r="R36" s="59"/>
      <c r="S36" s="58"/>
      <c r="T36" s="59"/>
      <c r="U36" s="58"/>
      <c r="V36" s="59"/>
      <c r="W36" s="58">
        <f>$K36+VLOOKUP($B36,Tablo1[],MONTH(W$1)+4,0)</f>
        <v>1500</v>
      </c>
      <c r="X36" s="59">
        <v>1500</v>
      </c>
      <c r="Y36" s="58">
        <f>$K36+VLOOKUP($B36,Tablo1[],MONTH(Y$1)+4,0)</f>
        <v>1500</v>
      </c>
      <c r="Z36" s="59">
        <v>1500</v>
      </c>
      <c r="AA36" s="58">
        <f>$K36+VLOOKUP($B36,Tablo1[],MONTH(AA$1)+4,0)</f>
        <v>1500</v>
      </c>
      <c r="AB36" s="59"/>
      <c r="AC36" s="58">
        <f>$K36+VLOOKUP($B36,Tablo1[],MONTH(AC$1)+4,0)</f>
        <v>1500</v>
      </c>
      <c r="AD36" s="59"/>
      <c r="AE36" s="58">
        <f>$K36+VLOOKUP($B36,Tablo1[],MONTH(AE$1)+4,0)</f>
        <v>1500</v>
      </c>
      <c r="AF36" s="59"/>
      <c r="AG36" s="58">
        <f>$K36+VLOOKUP($B36,Tablo1[],MONTH(AG$1)+4,0)</f>
        <v>1500</v>
      </c>
      <c r="AH36" s="59"/>
      <c r="AI36" s="58">
        <f>$K36+VLOOKUP($B36,Tablo1[],MONTH(AI$1)+4,0)</f>
        <v>1500</v>
      </c>
      <c r="AJ36" s="59"/>
    </row>
    <row r="37" spans="1:36" ht="20.25" x14ac:dyDescent="0.25">
      <c r="A37" s="9">
        <v>8</v>
      </c>
      <c r="B37" s="57" t="s">
        <v>56</v>
      </c>
      <c r="C37" s="15" t="s">
        <v>49</v>
      </c>
      <c r="D37" s="15">
        <v>7</v>
      </c>
      <c r="E37" s="15"/>
      <c r="F37" s="16"/>
      <c r="G37" t="s">
        <v>188</v>
      </c>
      <c r="H37" s="13"/>
      <c r="I37" s="14"/>
      <c r="J37" s="13"/>
      <c r="K37" s="50">
        <v>1500</v>
      </c>
      <c r="L37" s="58"/>
      <c r="M37" s="58"/>
      <c r="N37" s="59"/>
      <c r="O37" s="58"/>
      <c r="P37" s="59"/>
      <c r="Q37" s="58"/>
      <c r="R37" s="59"/>
      <c r="S37" s="58"/>
      <c r="T37" s="59"/>
      <c r="U37" s="58"/>
      <c r="V37" s="59"/>
      <c r="W37" s="58">
        <f>$K37+VLOOKUP($B37,Tablo1[],MONTH(W$1)+4,0)</f>
        <v>1500</v>
      </c>
      <c r="X37" s="59"/>
      <c r="Y37" s="58">
        <f>$K37+VLOOKUP($B37,Tablo1[],MONTH(Y$1)+4,0)</f>
        <v>1500</v>
      </c>
      <c r="Z37" s="59"/>
      <c r="AA37" s="58">
        <f>$K37+VLOOKUP($B37,Tablo1[],MONTH(AA$1)+4,0)</f>
        <v>1500</v>
      </c>
      <c r="AB37" s="59"/>
      <c r="AC37" s="58">
        <f>$K37+VLOOKUP($B37,Tablo1[],MONTH(AC$1)+4,0)</f>
        <v>1500</v>
      </c>
      <c r="AD37" s="59"/>
      <c r="AE37" s="58">
        <f>$K37+VLOOKUP($B37,Tablo1[],MONTH(AE$1)+4,0)</f>
        <v>1500</v>
      </c>
      <c r="AF37" s="59"/>
      <c r="AG37" s="58">
        <f>$K37+VLOOKUP($B37,Tablo1[],MONTH(AG$1)+4,0)</f>
        <v>1500</v>
      </c>
      <c r="AH37" s="59"/>
      <c r="AI37" s="58">
        <f>$K37+VLOOKUP($B37,Tablo1[],MONTH(AI$1)+4,0)</f>
        <v>1500</v>
      </c>
      <c r="AJ37" s="59"/>
    </row>
    <row r="38" spans="1:36" ht="20.25" x14ac:dyDescent="0.25">
      <c r="A38" s="9">
        <v>9</v>
      </c>
      <c r="B38" s="57" t="s">
        <v>57</v>
      </c>
      <c r="C38" s="15" t="s">
        <v>49</v>
      </c>
      <c r="D38" s="15">
        <v>8</v>
      </c>
      <c r="E38" s="15"/>
      <c r="F38" s="16"/>
      <c r="G38" t="s">
        <v>204</v>
      </c>
      <c r="H38" s="13"/>
      <c r="I38" s="14"/>
      <c r="J38" s="13"/>
      <c r="K38" s="50">
        <v>1500</v>
      </c>
      <c r="L38" s="58"/>
      <c r="M38" s="58"/>
      <c r="N38" s="59"/>
      <c r="O38" s="58"/>
      <c r="P38" s="59"/>
      <c r="Q38" s="58"/>
      <c r="R38" s="59"/>
      <c r="S38" s="58"/>
      <c r="T38" s="59"/>
      <c r="U38" s="58"/>
      <c r="V38" s="59"/>
      <c r="W38" s="58">
        <f>$K38+VLOOKUP($B38,Tablo1[],MONTH(W$1)+4,0)</f>
        <v>1500</v>
      </c>
      <c r="X38" s="59"/>
      <c r="Y38" s="58">
        <f>$K38+VLOOKUP($B38,Tablo1[],MONTH(Y$1)+4,0)</f>
        <v>1500</v>
      </c>
      <c r="Z38" s="59"/>
      <c r="AA38" s="58">
        <f>$K38+VLOOKUP($B38,Tablo1[],MONTH(AA$1)+4,0)</f>
        <v>1500</v>
      </c>
      <c r="AB38" s="59"/>
      <c r="AC38" s="58">
        <f>$K38+VLOOKUP($B38,Tablo1[],MONTH(AC$1)+4,0)</f>
        <v>1500</v>
      </c>
      <c r="AD38" s="59"/>
      <c r="AE38" s="58">
        <f>$K38+VLOOKUP($B38,Tablo1[],MONTH(AE$1)+4,0)</f>
        <v>1500</v>
      </c>
      <c r="AF38" s="59"/>
      <c r="AG38" s="58">
        <f>$K38+VLOOKUP($B38,Tablo1[],MONTH(AG$1)+4,0)</f>
        <v>1500</v>
      </c>
      <c r="AH38" s="59"/>
      <c r="AI38" s="58">
        <f>$K38+VLOOKUP($B38,Tablo1[],MONTH(AI$1)+4,0)</f>
        <v>1500</v>
      </c>
      <c r="AJ38" s="59"/>
    </row>
    <row r="39" spans="1:36" ht="20.25" x14ac:dyDescent="0.25">
      <c r="A39" s="9">
        <v>10</v>
      </c>
      <c r="B39" s="57" t="s">
        <v>58</v>
      </c>
      <c r="C39" s="15" t="s">
        <v>49</v>
      </c>
      <c r="D39" s="15">
        <v>9</v>
      </c>
      <c r="E39" s="15"/>
      <c r="F39" s="16"/>
      <c r="G39" t="s">
        <v>206</v>
      </c>
      <c r="H39" s="13"/>
      <c r="I39" s="14"/>
      <c r="J39" s="13"/>
      <c r="K39" s="50">
        <v>1500</v>
      </c>
      <c r="L39" s="58"/>
      <c r="M39" s="58"/>
      <c r="N39" s="59"/>
      <c r="O39" s="58"/>
      <c r="P39" s="59"/>
      <c r="Q39" s="58"/>
      <c r="R39" s="59"/>
      <c r="S39" s="58"/>
      <c r="T39" s="59"/>
      <c r="U39" s="58"/>
      <c r="V39" s="59"/>
      <c r="W39" s="58">
        <f>$K39+VLOOKUP($B39,Tablo1[],MONTH(W$1)+4,0)</f>
        <v>1500</v>
      </c>
      <c r="X39" s="59">
        <v>1500</v>
      </c>
      <c r="Y39" s="58">
        <f>$K39+VLOOKUP($B39,Tablo1[],MONTH(Y$1)+4,0)</f>
        <v>1500</v>
      </c>
      <c r="Z39" s="59">
        <v>1500</v>
      </c>
      <c r="AA39" s="58">
        <f>$K39+VLOOKUP($B39,Tablo1[],MONTH(AA$1)+4,0)</f>
        <v>1500</v>
      </c>
      <c r="AB39" s="59"/>
      <c r="AC39" s="58">
        <f>$K39+VLOOKUP($B39,Tablo1[],MONTH(AC$1)+4,0)</f>
        <v>1500</v>
      </c>
      <c r="AD39" s="59"/>
      <c r="AE39" s="58">
        <f>$K39+VLOOKUP($B39,Tablo1[],MONTH(AE$1)+4,0)</f>
        <v>1500</v>
      </c>
      <c r="AF39" s="59"/>
      <c r="AG39" s="58">
        <f>$K39+VLOOKUP($B39,Tablo1[],MONTH(AG$1)+4,0)</f>
        <v>1500</v>
      </c>
      <c r="AH39" s="59"/>
      <c r="AI39" s="58">
        <f>$K39+VLOOKUP($B39,Tablo1[],MONTH(AI$1)+4,0)</f>
        <v>1500</v>
      </c>
      <c r="AJ39" s="59"/>
    </row>
    <row r="40" spans="1:36" ht="20.25" x14ac:dyDescent="0.25">
      <c r="A40" s="9">
        <v>11</v>
      </c>
      <c r="B40" s="57" t="s">
        <v>59</v>
      </c>
      <c r="C40" s="15" t="s">
        <v>49</v>
      </c>
      <c r="D40" s="15">
        <v>10</v>
      </c>
      <c r="E40" s="15"/>
      <c r="F40" s="16"/>
      <c r="G40" t="s">
        <v>188</v>
      </c>
      <c r="H40" s="13"/>
      <c r="I40" s="14"/>
      <c r="J40" s="13"/>
      <c r="K40" s="50">
        <v>1500</v>
      </c>
      <c r="L40" s="58"/>
      <c r="M40" s="58"/>
      <c r="N40" s="59"/>
      <c r="O40" s="58"/>
      <c r="P40" s="59"/>
      <c r="Q40" s="58"/>
      <c r="R40" s="59"/>
      <c r="S40" s="58"/>
      <c r="T40" s="59"/>
      <c r="U40" s="58"/>
      <c r="V40" s="59"/>
      <c r="W40" s="58">
        <f>$K40+VLOOKUP($B40,Tablo1[],MONTH(W$1)+4,0)</f>
        <v>1500</v>
      </c>
      <c r="X40" s="59"/>
      <c r="Y40" s="58">
        <f>$K40+VLOOKUP($B40,Tablo1[],MONTH(Y$1)+4,0)</f>
        <v>1500</v>
      </c>
      <c r="Z40" s="59"/>
      <c r="AA40" s="58">
        <f>$K40+VLOOKUP($B40,Tablo1[],MONTH(AA$1)+4,0)</f>
        <v>1500</v>
      </c>
      <c r="AB40" s="59"/>
      <c r="AC40" s="58">
        <f>$K40+VLOOKUP($B40,Tablo1[],MONTH(AC$1)+4,0)</f>
        <v>1500</v>
      </c>
      <c r="AD40" s="59"/>
      <c r="AE40" s="58">
        <f>$K40+VLOOKUP($B40,Tablo1[],MONTH(AE$1)+4,0)</f>
        <v>1500</v>
      </c>
      <c r="AF40" s="59"/>
      <c r="AG40" s="58">
        <f>$K40+VLOOKUP($B40,Tablo1[],MONTH(AG$1)+4,0)</f>
        <v>1500</v>
      </c>
      <c r="AH40" s="59"/>
      <c r="AI40" s="58">
        <f>$K40+VLOOKUP($B40,Tablo1[],MONTH(AI$1)+4,0)</f>
        <v>1500</v>
      </c>
      <c r="AJ40" s="59"/>
    </row>
    <row r="41" spans="1:36" ht="20.25" x14ac:dyDescent="0.25">
      <c r="A41" s="9">
        <v>12</v>
      </c>
      <c r="B41" s="57" t="s">
        <v>60</v>
      </c>
      <c r="C41" s="15" t="s">
        <v>49</v>
      </c>
      <c r="D41" s="15">
        <v>11</v>
      </c>
      <c r="E41" s="15"/>
      <c r="F41" s="16"/>
      <c r="G41" t="s">
        <v>188</v>
      </c>
      <c r="H41" s="13"/>
      <c r="I41" s="14"/>
      <c r="J41" s="13"/>
      <c r="K41" s="50">
        <v>1500</v>
      </c>
      <c r="L41" s="58"/>
      <c r="M41" s="58"/>
      <c r="N41" s="59"/>
      <c r="O41" s="58"/>
      <c r="P41" s="59"/>
      <c r="Q41" s="58"/>
      <c r="R41" s="59"/>
      <c r="S41" s="58"/>
      <c r="T41" s="59"/>
      <c r="U41" s="58"/>
      <c r="V41" s="59"/>
      <c r="W41" s="58">
        <f>$K41+VLOOKUP($B41,Tablo1[],MONTH(W$1)+4,0)</f>
        <v>1500</v>
      </c>
      <c r="X41" s="59"/>
      <c r="Y41" s="58">
        <f>$K41+VLOOKUP($B41,Tablo1[],MONTH(Y$1)+4,0)</f>
        <v>1500</v>
      </c>
      <c r="Z41" s="59"/>
      <c r="AA41" s="58">
        <f>$K41+VLOOKUP($B41,Tablo1[],MONTH(AA$1)+4,0)</f>
        <v>1500</v>
      </c>
      <c r="AB41" s="59"/>
      <c r="AC41" s="58">
        <f>$K41+VLOOKUP($B41,Tablo1[],MONTH(AC$1)+4,0)</f>
        <v>1500</v>
      </c>
      <c r="AD41" s="59"/>
      <c r="AE41" s="58">
        <f>$K41+VLOOKUP($B41,Tablo1[],MONTH(AE$1)+4,0)</f>
        <v>1500</v>
      </c>
      <c r="AF41" s="59"/>
      <c r="AG41" s="58">
        <f>$K41+VLOOKUP($B41,Tablo1[],MONTH(AG$1)+4,0)</f>
        <v>1500</v>
      </c>
      <c r="AH41" s="59"/>
      <c r="AI41" s="58">
        <f>$K41+VLOOKUP($B41,Tablo1[],MONTH(AI$1)+4,0)</f>
        <v>1500</v>
      </c>
      <c r="AJ41" s="59"/>
    </row>
    <row r="42" spans="1:36" ht="20.25" x14ac:dyDescent="0.25">
      <c r="A42" s="9">
        <v>13</v>
      </c>
      <c r="B42" s="57" t="s">
        <v>61</v>
      </c>
      <c r="C42" s="15" t="s">
        <v>49</v>
      </c>
      <c r="D42" s="15">
        <v>12</v>
      </c>
      <c r="E42" s="15"/>
      <c r="F42" s="16"/>
      <c r="G42" t="s">
        <v>204</v>
      </c>
      <c r="H42" s="13"/>
      <c r="I42" s="14"/>
      <c r="J42" s="13"/>
      <c r="K42" s="50">
        <v>1500</v>
      </c>
      <c r="L42" s="58"/>
      <c r="M42" s="58"/>
      <c r="N42" s="59"/>
      <c r="O42" s="58"/>
      <c r="P42" s="59"/>
      <c r="Q42" s="58"/>
      <c r="R42" s="59"/>
      <c r="S42" s="58"/>
      <c r="T42" s="59"/>
      <c r="U42" s="58"/>
      <c r="V42" s="59"/>
      <c r="W42" s="58">
        <f>$K42+VLOOKUP($B42,Tablo1[],MONTH(W$1)+4,0)</f>
        <v>1500</v>
      </c>
      <c r="X42" s="59"/>
      <c r="Y42" s="58">
        <f>$K42+VLOOKUP($B42,Tablo1[],MONTH(Y$1)+4,0)</f>
        <v>1500</v>
      </c>
      <c r="Z42" s="59"/>
      <c r="AA42" s="58">
        <f>$K42+VLOOKUP($B42,Tablo1[],MONTH(AA$1)+4,0)</f>
        <v>1500</v>
      </c>
      <c r="AB42" s="59"/>
      <c r="AC42" s="58">
        <f>$K42+VLOOKUP($B42,Tablo1[],MONTH(AC$1)+4,0)</f>
        <v>1500</v>
      </c>
      <c r="AD42" s="59"/>
      <c r="AE42" s="58">
        <f>$K42+VLOOKUP($B42,Tablo1[],MONTH(AE$1)+4,0)</f>
        <v>1500</v>
      </c>
      <c r="AF42" s="59"/>
      <c r="AG42" s="58">
        <f>$K42+VLOOKUP($B42,Tablo1[],MONTH(AG$1)+4,0)</f>
        <v>1500</v>
      </c>
      <c r="AH42" s="59"/>
      <c r="AI42" s="58">
        <f>$K42+VLOOKUP($B42,Tablo1[],MONTH(AI$1)+4,0)</f>
        <v>1500</v>
      </c>
      <c r="AJ42" s="59"/>
    </row>
    <row r="43" spans="1:36" ht="20.25" x14ac:dyDescent="0.25">
      <c r="A43" s="9">
        <v>14</v>
      </c>
      <c r="B43" s="57" t="s">
        <v>62</v>
      </c>
      <c r="C43" s="15" t="s">
        <v>49</v>
      </c>
      <c r="D43" s="15">
        <v>13</v>
      </c>
      <c r="E43" s="15"/>
      <c r="F43" s="16"/>
      <c r="G43" t="s">
        <v>204</v>
      </c>
      <c r="H43" s="13"/>
      <c r="I43" s="14"/>
      <c r="J43" s="13"/>
      <c r="K43" s="50">
        <v>1500</v>
      </c>
      <c r="L43" s="58"/>
      <c r="M43" s="58"/>
      <c r="N43" s="59"/>
      <c r="O43" s="58"/>
      <c r="P43" s="59"/>
      <c r="Q43" s="58"/>
      <c r="R43" s="59"/>
      <c r="S43" s="58"/>
      <c r="T43" s="59"/>
      <c r="U43" s="58"/>
      <c r="V43" s="59"/>
      <c r="W43" s="58">
        <f>$K43+VLOOKUP($B43,Tablo1[],MONTH(W$1)+4,0)</f>
        <v>1500</v>
      </c>
      <c r="X43" s="59"/>
      <c r="Y43" s="58">
        <f>$K43+VLOOKUP($B43,Tablo1[],MONTH(Y$1)+4,0)</f>
        <v>1500</v>
      </c>
      <c r="Z43" s="59"/>
      <c r="AA43" s="58">
        <f>$K43+VLOOKUP($B43,Tablo1[],MONTH(AA$1)+4,0)</f>
        <v>1500</v>
      </c>
      <c r="AB43" s="59"/>
      <c r="AC43" s="58">
        <f>$K43+VLOOKUP($B43,Tablo1[],MONTH(AC$1)+4,0)</f>
        <v>1500</v>
      </c>
      <c r="AD43" s="59"/>
      <c r="AE43" s="58">
        <f>$K43+VLOOKUP($B43,Tablo1[],MONTH(AE$1)+4,0)</f>
        <v>1500</v>
      </c>
      <c r="AF43" s="59"/>
      <c r="AG43" s="58">
        <f>$K43+VLOOKUP($B43,Tablo1[],MONTH(AG$1)+4,0)</f>
        <v>1500</v>
      </c>
      <c r="AH43" s="59"/>
      <c r="AI43" s="58">
        <f>$K43+VLOOKUP($B43,Tablo1[],MONTH(AI$1)+4,0)</f>
        <v>1500</v>
      </c>
      <c r="AJ43" s="59"/>
    </row>
    <row r="44" spans="1:36" ht="20.25" x14ac:dyDescent="0.25">
      <c r="A44" s="9">
        <v>15</v>
      </c>
      <c r="B44" s="57" t="s">
        <v>63</v>
      </c>
      <c r="C44" s="15" t="s">
        <v>49</v>
      </c>
      <c r="D44" s="15">
        <v>14</v>
      </c>
      <c r="E44" s="15"/>
      <c r="F44" s="16"/>
      <c r="G44" t="s">
        <v>188</v>
      </c>
      <c r="H44" s="13"/>
      <c r="I44" s="14"/>
      <c r="J44" s="13"/>
      <c r="K44" s="50">
        <v>1500</v>
      </c>
      <c r="L44" s="58"/>
      <c r="M44" s="58"/>
      <c r="N44" s="59"/>
      <c r="O44" s="58"/>
      <c r="P44" s="59"/>
      <c r="Q44" s="58"/>
      <c r="R44" s="59"/>
      <c r="S44" s="58"/>
      <c r="T44" s="59"/>
      <c r="U44" s="58"/>
      <c r="V44" s="59"/>
      <c r="W44" s="58">
        <f>$K44+VLOOKUP($B44,Tablo1[],MONTH(W$1)+4,0)</f>
        <v>1500</v>
      </c>
      <c r="X44" s="59"/>
      <c r="Y44" s="58">
        <f>$K44+VLOOKUP($B44,Tablo1[],MONTH(Y$1)+4,0)</f>
        <v>1500</v>
      </c>
      <c r="Z44" s="59"/>
      <c r="AA44" s="58">
        <f>$K44+VLOOKUP($B44,Tablo1[],MONTH(AA$1)+4,0)</f>
        <v>1500</v>
      </c>
      <c r="AB44" s="59"/>
      <c r="AC44" s="58">
        <f>$K44+VLOOKUP($B44,Tablo1[],MONTH(AC$1)+4,0)</f>
        <v>1500</v>
      </c>
      <c r="AD44" s="59"/>
      <c r="AE44" s="58">
        <f>$K44+VLOOKUP($B44,Tablo1[],MONTH(AE$1)+4,0)</f>
        <v>1500</v>
      </c>
      <c r="AF44" s="59"/>
      <c r="AG44" s="58">
        <f>$K44+VLOOKUP($B44,Tablo1[],MONTH(AG$1)+4,0)</f>
        <v>1500</v>
      </c>
      <c r="AH44" s="59"/>
      <c r="AI44" s="58">
        <f>$K44+VLOOKUP($B44,Tablo1[],MONTH(AI$1)+4,0)</f>
        <v>1500</v>
      </c>
      <c r="AJ44" s="59"/>
    </row>
    <row r="45" spans="1:36" ht="20.25" x14ac:dyDescent="0.25">
      <c r="A45" s="9">
        <v>16</v>
      </c>
      <c r="B45" s="57" t="s">
        <v>64</v>
      </c>
      <c r="C45" s="15" t="s">
        <v>49</v>
      </c>
      <c r="D45" s="15">
        <v>15</v>
      </c>
      <c r="E45" s="15"/>
      <c r="F45" s="16"/>
      <c r="G45" t="s">
        <v>188</v>
      </c>
      <c r="H45" s="13"/>
      <c r="I45" s="14"/>
      <c r="J45" s="13"/>
      <c r="K45" s="50">
        <v>1500</v>
      </c>
      <c r="L45" s="58"/>
      <c r="M45" s="58"/>
      <c r="N45" s="59"/>
      <c r="O45" s="58"/>
      <c r="P45" s="59"/>
      <c r="Q45" s="58"/>
      <c r="R45" s="59"/>
      <c r="S45" s="58"/>
      <c r="T45" s="59"/>
      <c r="U45" s="58"/>
      <c r="V45" s="59"/>
      <c r="W45" s="58">
        <f>$K45+VLOOKUP($B45,Tablo1[],MONTH(W$1)+4,0)</f>
        <v>1500</v>
      </c>
      <c r="X45" s="59"/>
      <c r="Y45" s="58">
        <f>$K45+VLOOKUP($B45,Tablo1[],MONTH(Y$1)+4,0)</f>
        <v>1500</v>
      </c>
      <c r="Z45" s="59"/>
      <c r="AA45" s="58">
        <f>$K45+VLOOKUP($B45,Tablo1[],MONTH(AA$1)+4,0)</f>
        <v>1500</v>
      </c>
      <c r="AB45" s="59"/>
      <c r="AC45" s="58">
        <f>$K45+VLOOKUP($B45,Tablo1[],MONTH(AC$1)+4,0)</f>
        <v>1500</v>
      </c>
      <c r="AD45" s="59"/>
      <c r="AE45" s="58">
        <f>$K45+VLOOKUP($B45,Tablo1[],MONTH(AE$1)+4,0)</f>
        <v>1500</v>
      </c>
      <c r="AF45" s="59"/>
      <c r="AG45" s="58">
        <f>$K45+VLOOKUP($B45,Tablo1[],MONTH(AG$1)+4,0)</f>
        <v>1500</v>
      </c>
      <c r="AH45" s="59"/>
      <c r="AI45" s="58">
        <f>$K45+VLOOKUP($B45,Tablo1[],MONTH(AI$1)+4,0)</f>
        <v>1500</v>
      </c>
      <c r="AJ45" s="59"/>
    </row>
    <row r="46" spans="1:36" ht="20.25" x14ac:dyDescent="0.25">
      <c r="A46" s="9">
        <v>17</v>
      </c>
      <c r="B46" s="57" t="s">
        <v>65</v>
      </c>
      <c r="C46" s="15" t="s">
        <v>49</v>
      </c>
      <c r="D46" s="15">
        <v>16</v>
      </c>
      <c r="E46" s="15"/>
      <c r="F46" s="16"/>
      <c r="G46" t="s">
        <v>204</v>
      </c>
      <c r="H46" s="13"/>
      <c r="I46" s="14"/>
      <c r="J46" s="13"/>
      <c r="K46" s="50">
        <v>1500</v>
      </c>
      <c r="L46" s="58"/>
      <c r="M46" s="58"/>
      <c r="N46" s="59"/>
      <c r="O46" s="58"/>
      <c r="P46" s="59"/>
      <c r="Q46" s="58"/>
      <c r="R46" s="59"/>
      <c r="S46" s="58"/>
      <c r="T46" s="59"/>
      <c r="U46" s="58"/>
      <c r="V46" s="59"/>
      <c r="W46" s="58">
        <f>$K46+VLOOKUP($B46,Tablo1[],MONTH(W$1)+4,0)</f>
        <v>1500</v>
      </c>
      <c r="X46" s="59"/>
      <c r="Y46" s="58">
        <f>$K46+VLOOKUP($B46,Tablo1[],MONTH(Y$1)+4,0)</f>
        <v>1500</v>
      </c>
      <c r="Z46" s="59"/>
      <c r="AA46" s="58">
        <f>$K46+VLOOKUP($B46,Tablo1[],MONTH(AA$1)+4,0)</f>
        <v>1500</v>
      </c>
      <c r="AB46" s="59"/>
      <c r="AC46" s="58">
        <f>$K46+VLOOKUP($B46,Tablo1[],MONTH(AC$1)+4,0)</f>
        <v>1500</v>
      </c>
      <c r="AD46" s="59"/>
      <c r="AE46" s="58">
        <f>$K46+VLOOKUP($B46,Tablo1[],MONTH(AE$1)+4,0)</f>
        <v>1500</v>
      </c>
      <c r="AF46" s="59"/>
      <c r="AG46" s="58">
        <f>$K46+VLOOKUP($B46,Tablo1[],MONTH(AG$1)+4,0)</f>
        <v>1500</v>
      </c>
      <c r="AH46" s="59"/>
      <c r="AI46" s="58">
        <f>$K46+VLOOKUP($B46,Tablo1[],MONTH(AI$1)+4,0)</f>
        <v>1500</v>
      </c>
      <c r="AJ46" s="59"/>
    </row>
    <row r="47" spans="1:36" ht="20.25" x14ac:dyDescent="0.25">
      <c r="A47" s="9">
        <v>18</v>
      </c>
      <c r="B47" s="57" t="s">
        <v>66</v>
      </c>
      <c r="C47" s="15" t="s">
        <v>49</v>
      </c>
      <c r="D47" s="15">
        <v>17</v>
      </c>
      <c r="E47" s="15"/>
      <c r="F47" s="16"/>
      <c r="G47" t="s">
        <v>206</v>
      </c>
      <c r="H47" s="13"/>
      <c r="I47" s="14"/>
      <c r="J47" s="13"/>
      <c r="K47" s="50">
        <v>1500</v>
      </c>
      <c r="L47" s="58"/>
      <c r="M47" s="58"/>
      <c r="N47" s="59"/>
      <c r="O47" s="58"/>
      <c r="P47" s="59"/>
      <c r="Q47" s="58"/>
      <c r="R47" s="59"/>
      <c r="S47" s="58"/>
      <c r="T47" s="59"/>
      <c r="U47" s="58"/>
      <c r="V47" s="59"/>
      <c r="W47" s="58">
        <f>$K47+VLOOKUP($B47,Tablo1[],MONTH(W$1)+4,0)</f>
        <v>1500</v>
      </c>
      <c r="X47" s="59">
        <v>1500</v>
      </c>
      <c r="Y47" s="58">
        <f>$K47+VLOOKUP($B47,Tablo1[],MONTH(Y$1)+4,0)</f>
        <v>1500</v>
      </c>
      <c r="Z47" s="59">
        <v>1500</v>
      </c>
      <c r="AA47" s="58">
        <f>$K47+VLOOKUP($B47,Tablo1[],MONTH(AA$1)+4,0)</f>
        <v>1500</v>
      </c>
      <c r="AB47" s="59"/>
      <c r="AC47" s="58">
        <f>$K47+VLOOKUP($B47,Tablo1[],MONTH(AC$1)+4,0)</f>
        <v>1500</v>
      </c>
      <c r="AD47" s="59"/>
      <c r="AE47" s="58">
        <f>$K47+VLOOKUP($B47,Tablo1[],MONTH(AE$1)+4,0)</f>
        <v>1500</v>
      </c>
      <c r="AF47" s="59"/>
      <c r="AG47" s="58">
        <f>$K47+VLOOKUP($B47,Tablo1[],MONTH(AG$1)+4,0)</f>
        <v>1500</v>
      </c>
      <c r="AH47" s="59"/>
      <c r="AI47" s="58">
        <f>$K47+VLOOKUP($B47,Tablo1[],MONTH(AI$1)+4,0)</f>
        <v>1500</v>
      </c>
      <c r="AJ47" s="59"/>
    </row>
    <row r="48" spans="1:36" ht="20.25" x14ac:dyDescent="0.25">
      <c r="A48" s="9">
        <v>19</v>
      </c>
      <c r="B48" s="57" t="s">
        <v>67</v>
      </c>
      <c r="C48" s="15" t="s">
        <v>49</v>
      </c>
      <c r="D48" s="15">
        <v>18</v>
      </c>
      <c r="E48" s="15"/>
      <c r="F48" s="16"/>
      <c r="G48" t="s">
        <v>218</v>
      </c>
      <c r="H48" s="13"/>
      <c r="I48" s="14"/>
      <c r="J48" s="13"/>
      <c r="K48" s="50">
        <v>1500</v>
      </c>
      <c r="L48" s="58"/>
      <c r="M48" s="58"/>
      <c r="N48" s="59"/>
      <c r="O48" s="58"/>
      <c r="P48" s="59"/>
      <c r="Q48" s="58"/>
      <c r="R48" s="59"/>
      <c r="S48" s="58"/>
      <c r="T48" s="59"/>
      <c r="U48" s="58"/>
      <c r="V48" s="59"/>
      <c r="W48" s="58">
        <f>$K48+VLOOKUP($B48,Tablo1[],MONTH(W$1)+4,0)</f>
        <v>1500</v>
      </c>
      <c r="X48" s="59"/>
      <c r="Y48" s="58">
        <f>$K48+VLOOKUP($B48,Tablo1[],MONTH(Y$1)+4,0)</f>
        <v>1500</v>
      </c>
      <c r="Z48" s="59"/>
      <c r="AA48" s="58">
        <f>$K48+VLOOKUP($B48,Tablo1[],MONTH(AA$1)+4,0)</f>
        <v>1500</v>
      </c>
      <c r="AB48" s="59"/>
      <c r="AC48" s="58">
        <f>$K48+VLOOKUP($B48,Tablo1[],MONTH(AC$1)+4,0)</f>
        <v>1500</v>
      </c>
      <c r="AD48" s="59"/>
      <c r="AE48" s="58">
        <f>$K48+VLOOKUP($B48,Tablo1[],MONTH(AE$1)+4,0)</f>
        <v>1500</v>
      </c>
      <c r="AF48" s="59"/>
      <c r="AG48" s="58">
        <f>$K48+VLOOKUP($B48,Tablo1[],MONTH(AG$1)+4,0)</f>
        <v>1500</v>
      </c>
      <c r="AH48" s="59"/>
      <c r="AI48" s="58">
        <f>$K48+VLOOKUP($B48,Tablo1[],MONTH(AI$1)+4,0)</f>
        <v>1500</v>
      </c>
      <c r="AJ48" s="59"/>
    </row>
    <row r="49" spans="1:36" ht="20.25" x14ac:dyDescent="0.25">
      <c r="A49" s="9">
        <v>20</v>
      </c>
      <c r="B49" s="57" t="s">
        <v>68</v>
      </c>
      <c r="C49" s="15" t="s">
        <v>49</v>
      </c>
      <c r="D49" s="15">
        <v>19</v>
      </c>
      <c r="E49" s="15"/>
      <c r="F49" s="16"/>
      <c r="G49" t="s">
        <v>188</v>
      </c>
      <c r="H49" s="13"/>
      <c r="I49" s="14"/>
      <c r="J49" s="13"/>
      <c r="K49" s="50">
        <v>1500</v>
      </c>
      <c r="L49" s="58"/>
      <c r="M49" s="58"/>
      <c r="N49" s="59"/>
      <c r="O49" s="58"/>
      <c r="P49" s="59"/>
      <c r="Q49" s="58"/>
      <c r="R49" s="59"/>
      <c r="S49" s="58"/>
      <c r="T49" s="59"/>
      <c r="U49" s="58"/>
      <c r="V49" s="59"/>
      <c r="W49" s="58">
        <f>$K49+VLOOKUP($B49,Tablo1[],MONTH(W$1)+4,0)</f>
        <v>1500</v>
      </c>
      <c r="X49" s="59"/>
      <c r="Y49" s="58">
        <f>$K49+VLOOKUP($B49,Tablo1[],MONTH(Y$1)+4,0)</f>
        <v>1500</v>
      </c>
      <c r="Z49" s="59"/>
      <c r="AA49" s="58">
        <f>$K49+VLOOKUP($B49,Tablo1[],MONTH(AA$1)+4,0)</f>
        <v>1500</v>
      </c>
      <c r="AB49" s="59"/>
      <c r="AC49" s="58">
        <f>$K49+VLOOKUP($B49,Tablo1[],MONTH(AC$1)+4,0)</f>
        <v>1500</v>
      </c>
      <c r="AD49" s="59"/>
      <c r="AE49" s="58">
        <f>$K49+VLOOKUP($B49,Tablo1[],MONTH(AE$1)+4,0)</f>
        <v>1500</v>
      </c>
      <c r="AF49" s="59"/>
      <c r="AG49" s="58">
        <f>$K49+VLOOKUP($B49,Tablo1[],MONTH(AG$1)+4,0)</f>
        <v>1500</v>
      </c>
      <c r="AH49" s="59"/>
      <c r="AI49" s="58">
        <f>$K49+VLOOKUP($B49,Tablo1[],MONTH(AI$1)+4,0)</f>
        <v>1500</v>
      </c>
      <c r="AJ49" s="59"/>
    </row>
    <row r="50" spans="1:36" ht="20.25" x14ac:dyDescent="0.25">
      <c r="A50" s="9">
        <v>21</v>
      </c>
      <c r="B50" s="57" t="s">
        <v>69</v>
      </c>
      <c r="C50" s="15" t="s">
        <v>49</v>
      </c>
      <c r="D50" s="15">
        <v>20</v>
      </c>
      <c r="E50" s="15"/>
      <c r="F50" s="16"/>
      <c r="G50" t="s">
        <v>207</v>
      </c>
      <c r="H50" s="13"/>
      <c r="I50" s="14"/>
      <c r="J50" s="13"/>
      <c r="K50" s="50">
        <v>1500</v>
      </c>
      <c r="L50" s="58"/>
      <c r="M50" s="58"/>
      <c r="N50" s="59"/>
      <c r="O50" s="58"/>
      <c r="P50" s="59"/>
      <c r="Q50" s="58"/>
      <c r="R50" s="59"/>
      <c r="S50" s="58"/>
      <c r="T50" s="59"/>
      <c r="U50" s="58"/>
      <c r="V50" s="59"/>
      <c r="W50" s="58">
        <f>$K50+VLOOKUP($B50,Tablo1[],MONTH(W$1)+4,0)</f>
        <v>1500</v>
      </c>
      <c r="X50" s="59">
        <v>1500</v>
      </c>
      <c r="Y50" s="58">
        <f>$K50+VLOOKUP($B50,Tablo1[],MONTH(Y$1)+4,0)</f>
        <v>1500</v>
      </c>
      <c r="Z50" s="59">
        <v>1500</v>
      </c>
      <c r="AA50" s="58">
        <f>$K50+VLOOKUP($B50,Tablo1[],MONTH(AA$1)+4,0)</f>
        <v>1500</v>
      </c>
      <c r="AB50" s="59"/>
      <c r="AC50" s="58">
        <f>$K50+VLOOKUP($B50,Tablo1[],MONTH(AC$1)+4,0)</f>
        <v>1500</v>
      </c>
      <c r="AD50" s="59"/>
      <c r="AE50" s="58">
        <f>$K50+VLOOKUP($B50,Tablo1[],MONTH(AE$1)+4,0)</f>
        <v>1500</v>
      </c>
      <c r="AF50" s="59"/>
      <c r="AG50" s="58">
        <f>$K50+VLOOKUP($B50,Tablo1[],MONTH(AG$1)+4,0)</f>
        <v>1500</v>
      </c>
      <c r="AH50" s="59"/>
      <c r="AI50" s="58">
        <f>$K50+VLOOKUP($B50,Tablo1[],MONTH(AI$1)+4,0)</f>
        <v>1500</v>
      </c>
      <c r="AJ50" s="59"/>
    </row>
    <row r="51" spans="1:36" ht="20.25" x14ac:dyDescent="0.25">
      <c r="A51" s="9">
        <v>22</v>
      </c>
      <c r="B51" s="57" t="s">
        <v>70</v>
      </c>
      <c r="C51" s="15" t="s">
        <v>49</v>
      </c>
      <c r="D51" s="15">
        <v>21</v>
      </c>
      <c r="E51" s="15"/>
      <c r="F51" s="16"/>
      <c r="G51" t="s">
        <v>204</v>
      </c>
      <c r="H51" s="13"/>
      <c r="I51" s="14"/>
      <c r="J51" s="13"/>
      <c r="K51" s="50">
        <v>1500</v>
      </c>
      <c r="L51" s="58"/>
      <c r="M51" s="58"/>
      <c r="N51" s="59"/>
      <c r="O51" s="58"/>
      <c r="P51" s="59"/>
      <c r="Q51" s="58"/>
      <c r="R51" s="59"/>
      <c r="S51" s="58"/>
      <c r="T51" s="59"/>
      <c r="U51" s="58"/>
      <c r="V51" s="59"/>
      <c r="W51" s="58">
        <f>$K51+VLOOKUP($B51,Tablo1[],MONTH(W$1)+4,0)</f>
        <v>1500</v>
      </c>
      <c r="X51" s="59"/>
      <c r="Y51" s="58">
        <f>$K51+VLOOKUP($B51,Tablo1[],MONTH(Y$1)+4,0)</f>
        <v>1500</v>
      </c>
      <c r="Z51" s="59"/>
      <c r="AA51" s="58">
        <f>$K51+VLOOKUP($B51,Tablo1[],MONTH(AA$1)+4,0)</f>
        <v>1500</v>
      </c>
      <c r="AB51" s="59"/>
      <c r="AC51" s="58">
        <f>$K51+VLOOKUP($B51,Tablo1[],MONTH(AC$1)+4,0)</f>
        <v>1500</v>
      </c>
      <c r="AD51" s="59"/>
      <c r="AE51" s="58">
        <f>$K51+VLOOKUP($B51,Tablo1[],MONTH(AE$1)+4,0)</f>
        <v>1500</v>
      </c>
      <c r="AF51" s="59"/>
      <c r="AG51" s="58">
        <f>$K51+VLOOKUP($B51,Tablo1[],MONTH(AG$1)+4,0)</f>
        <v>1500</v>
      </c>
      <c r="AH51" s="59"/>
      <c r="AI51" s="58">
        <f>$K51+VLOOKUP($B51,Tablo1[],MONTH(AI$1)+4,0)</f>
        <v>1500</v>
      </c>
      <c r="AJ51" s="59"/>
    </row>
    <row r="52" spans="1:36" ht="20.25" x14ac:dyDescent="0.25">
      <c r="A52" s="9">
        <v>23</v>
      </c>
      <c r="B52" s="57" t="s">
        <v>71</v>
      </c>
      <c r="C52" s="15" t="s">
        <v>49</v>
      </c>
      <c r="D52" s="15">
        <v>22</v>
      </c>
      <c r="E52" s="15"/>
      <c r="F52" s="16"/>
      <c r="G52" t="s">
        <v>188</v>
      </c>
      <c r="H52" s="13"/>
      <c r="I52" s="14"/>
      <c r="J52" s="13"/>
      <c r="K52" s="50">
        <v>1500</v>
      </c>
      <c r="L52" s="58"/>
      <c r="M52" s="58"/>
      <c r="N52" s="59"/>
      <c r="O52" s="58"/>
      <c r="P52" s="59"/>
      <c r="Q52" s="58"/>
      <c r="R52" s="59"/>
      <c r="S52" s="58"/>
      <c r="T52" s="59"/>
      <c r="U52" s="58"/>
      <c r="V52" s="59"/>
      <c r="W52" s="58">
        <f>$K52+VLOOKUP($B52,Tablo1[],MONTH(W$1)+4,0)</f>
        <v>1500</v>
      </c>
      <c r="X52" s="59"/>
      <c r="Y52" s="58">
        <f>$K52+VLOOKUP($B52,Tablo1[],MONTH(Y$1)+4,0)</f>
        <v>1500</v>
      </c>
      <c r="Z52" s="59"/>
      <c r="AA52" s="58">
        <f>$K52+VLOOKUP($B52,Tablo1[],MONTH(AA$1)+4,0)</f>
        <v>1500</v>
      </c>
      <c r="AB52" s="59"/>
      <c r="AC52" s="58">
        <f>$K52+VLOOKUP($B52,Tablo1[],MONTH(AC$1)+4,0)</f>
        <v>1500</v>
      </c>
      <c r="AD52" s="59"/>
      <c r="AE52" s="58">
        <f>$K52+VLOOKUP($B52,Tablo1[],MONTH(AE$1)+4,0)</f>
        <v>1500</v>
      </c>
      <c r="AF52" s="59"/>
      <c r="AG52" s="58">
        <f>$K52+VLOOKUP($B52,Tablo1[],MONTH(AG$1)+4,0)</f>
        <v>1500</v>
      </c>
      <c r="AH52" s="59"/>
      <c r="AI52" s="58">
        <f>$K52+VLOOKUP($B52,Tablo1[],MONTH(AI$1)+4,0)</f>
        <v>1500</v>
      </c>
      <c r="AJ52" s="59"/>
    </row>
    <row r="53" spans="1:36" ht="20.25" x14ac:dyDescent="0.25">
      <c r="A53" s="9">
        <v>24</v>
      </c>
      <c r="B53" s="57" t="s">
        <v>72</v>
      </c>
      <c r="C53" s="15" t="s">
        <v>49</v>
      </c>
      <c r="D53" s="15">
        <v>23</v>
      </c>
      <c r="E53" s="15"/>
      <c r="F53" s="16"/>
      <c r="G53" t="s">
        <v>218</v>
      </c>
      <c r="H53" s="13"/>
      <c r="I53" s="14"/>
      <c r="J53" s="13"/>
      <c r="K53" s="50">
        <v>1500</v>
      </c>
      <c r="L53" s="58"/>
      <c r="M53" s="58"/>
      <c r="N53" s="59"/>
      <c r="O53" s="58"/>
      <c r="P53" s="59"/>
      <c r="Q53" s="58"/>
      <c r="R53" s="59"/>
      <c r="S53" s="58"/>
      <c r="T53" s="59"/>
      <c r="U53" s="58"/>
      <c r="V53" s="59"/>
      <c r="W53" s="58">
        <f>$K53+VLOOKUP($B53,Tablo1[],MONTH(W$1)+4,0)</f>
        <v>1500</v>
      </c>
      <c r="X53" s="59"/>
      <c r="Y53" s="58">
        <f>$K53+VLOOKUP($B53,Tablo1[],MONTH(Y$1)+4,0)</f>
        <v>1500</v>
      </c>
      <c r="Z53" s="59"/>
      <c r="AA53" s="58">
        <f>$K53+VLOOKUP($B53,Tablo1[],MONTH(AA$1)+4,0)</f>
        <v>1500</v>
      </c>
      <c r="AB53" s="59"/>
      <c r="AC53" s="58">
        <f>$K53+VLOOKUP($B53,Tablo1[],MONTH(AC$1)+4,0)</f>
        <v>1500</v>
      </c>
      <c r="AD53" s="59"/>
      <c r="AE53" s="58">
        <f>$K53+VLOOKUP($B53,Tablo1[],MONTH(AE$1)+4,0)</f>
        <v>1500</v>
      </c>
      <c r="AF53" s="59"/>
      <c r="AG53" s="58">
        <f>$K53+VLOOKUP($B53,Tablo1[],MONTH(AG$1)+4,0)</f>
        <v>1500</v>
      </c>
      <c r="AH53" s="59"/>
      <c r="AI53" s="58">
        <f>$K53+VLOOKUP($B53,Tablo1[],MONTH(AI$1)+4,0)</f>
        <v>1500</v>
      </c>
      <c r="AJ53" s="59"/>
    </row>
    <row r="54" spans="1:36" ht="20.25" x14ac:dyDescent="0.25">
      <c r="A54" s="9">
        <v>25</v>
      </c>
      <c r="B54" s="57" t="s">
        <v>73</v>
      </c>
      <c r="C54" s="15" t="s">
        <v>49</v>
      </c>
      <c r="D54" s="15">
        <v>24</v>
      </c>
      <c r="E54" s="15"/>
      <c r="F54" s="16"/>
      <c r="G54" t="s">
        <v>204</v>
      </c>
      <c r="H54" s="13"/>
      <c r="I54" s="14"/>
      <c r="J54" s="13"/>
      <c r="K54" s="50">
        <v>1500</v>
      </c>
      <c r="L54" s="58"/>
      <c r="M54" s="58"/>
      <c r="N54" s="59"/>
      <c r="O54" s="58"/>
      <c r="P54" s="59"/>
      <c r="Q54" s="58"/>
      <c r="R54" s="59"/>
      <c r="S54" s="58"/>
      <c r="T54" s="59"/>
      <c r="U54" s="58"/>
      <c r="V54" s="59"/>
      <c r="W54" s="58">
        <f>$K54+VLOOKUP($B54,Tablo1[],MONTH(W$1)+4,0)</f>
        <v>1500</v>
      </c>
      <c r="X54" s="59"/>
      <c r="Y54" s="58">
        <f>$K54+VLOOKUP($B54,Tablo1[],MONTH(Y$1)+4,0)</f>
        <v>1500</v>
      </c>
      <c r="Z54" s="59"/>
      <c r="AA54" s="58">
        <f>$K54+VLOOKUP($B54,Tablo1[],MONTH(AA$1)+4,0)</f>
        <v>1500</v>
      </c>
      <c r="AB54" s="59"/>
      <c r="AC54" s="58">
        <f>$K54+VLOOKUP($B54,Tablo1[],MONTH(AC$1)+4,0)</f>
        <v>1500</v>
      </c>
      <c r="AD54" s="59"/>
      <c r="AE54" s="58">
        <f>$K54+VLOOKUP($B54,Tablo1[],MONTH(AE$1)+4,0)</f>
        <v>1500</v>
      </c>
      <c r="AF54" s="59"/>
      <c r="AG54" s="58">
        <f>$K54+VLOOKUP($B54,Tablo1[],MONTH(AG$1)+4,0)</f>
        <v>1500</v>
      </c>
      <c r="AH54" s="59"/>
      <c r="AI54" s="58">
        <f>$K54+VLOOKUP($B54,Tablo1[],MONTH(AI$1)+4,0)</f>
        <v>1500</v>
      </c>
      <c r="AJ54" s="59"/>
    </row>
    <row r="55" spans="1:36" ht="20.25" x14ac:dyDescent="0.25">
      <c r="A55" s="9">
        <v>26</v>
      </c>
      <c r="B55" s="57" t="s">
        <v>74</v>
      </c>
      <c r="C55" s="15" t="s">
        <v>49</v>
      </c>
      <c r="D55" s="15">
        <v>25</v>
      </c>
      <c r="E55" s="15"/>
      <c r="F55" s="16"/>
      <c r="G55" t="s">
        <v>204</v>
      </c>
      <c r="H55" s="13"/>
      <c r="I55" s="14"/>
      <c r="J55" s="13"/>
      <c r="K55" s="50">
        <v>1500</v>
      </c>
      <c r="L55" s="58"/>
      <c r="M55" s="58"/>
      <c r="N55" s="59"/>
      <c r="O55" s="58"/>
      <c r="P55" s="59"/>
      <c r="Q55" s="58"/>
      <c r="R55" s="59"/>
      <c r="S55" s="58"/>
      <c r="T55" s="59"/>
      <c r="U55" s="58"/>
      <c r="V55" s="59"/>
      <c r="W55" s="58">
        <f>$K55+VLOOKUP($B55,Tablo1[],MONTH(W$1)+4,0)</f>
        <v>1500</v>
      </c>
      <c r="X55" s="59"/>
      <c r="Y55" s="58">
        <f>$K55+VLOOKUP($B55,Tablo1[],MONTH(Y$1)+4,0)</f>
        <v>1500</v>
      </c>
      <c r="Z55" s="59"/>
      <c r="AA55" s="58">
        <f>$K55+VLOOKUP($B55,Tablo1[],MONTH(AA$1)+4,0)</f>
        <v>1500</v>
      </c>
      <c r="AB55" s="59"/>
      <c r="AC55" s="58">
        <f>$K55+VLOOKUP($B55,Tablo1[],MONTH(AC$1)+4,0)</f>
        <v>1500</v>
      </c>
      <c r="AD55" s="59"/>
      <c r="AE55" s="58">
        <f>$K55+VLOOKUP($B55,Tablo1[],MONTH(AE$1)+4,0)</f>
        <v>1500</v>
      </c>
      <c r="AF55" s="59"/>
      <c r="AG55" s="58">
        <f>$K55+VLOOKUP($B55,Tablo1[],MONTH(AG$1)+4,0)</f>
        <v>1500</v>
      </c>
      <c r="AH55" s="59"/>
      <c r="AI55" s="58">
        <f>$K55+VLOOKUP($B55,Tablo1[],MONTH(AI$1)+4,0)</f>
        <v>1500</v>
      </c>
      <c r="AJ55" s="59"/>
    </row>
    <row r="56" spans="1:36" ht="20.25" x14ac:dyDescent="0.25">
      <c r="A56" s="9">
        <v>27</v>
      </c>
      <c r="B56" s="57" t="s">
        <v>75</v>
      </c>
      <c r="C56" s="15" t="s">
        <v>49</v>
      </c>
      <c r="D56" s="15">
        <v>26</v>
      </c>
      <c r="E56" s="15"/>
      <c r="F56" s="16"/>
      <c r="G56" t="s">
        <v>208</v>
      </c>
      <c r="H56" s="13"/>
      <c r="I56" s="14"/>
      <c r="J56" s="13"/>
      <c r="K56" s="50">
        <v>1500</v>
      </c>
      <c r="L56" s="58"/>
      <c r="M56" s="58"/>
      <c r="N56" s="59"/>
      <c r="O56" s="58"/>
      <c r="P56" s="59"/>
      <c r="Q56" s="58"/>
      <c r="R56" s="59"/>
      <c r="S56" s="58"/>
      <c r="T56" s="59"/>
      <c r="U56" s="58"/>
      <c r="V56" s="59"/>
      <c r="W56" s="58">
        <f>$K56+VLOOKUP($B56,Tablo1[],MONTH(W$1)+4,0)</f>
        <v>1500</v>
      </c>
      <c r="X56" s="59"/>
      <c r="Y56" s="58">
        <f>$K56+VLOOKUP($B56,Tablo1[],MONTH(Y$1)+4,0)</f>
        <v>1500</v>
      </c>
      <c r="Z56" s="59"/>
      <c r="AA56" s="58">
        <f>$K56+VLOOKUP($B56,Tablo1[],MONTH(AA$1)+4,0)</f>
        <v>1500</v>
      </c>
      <c r="AB56" s="59"/>
      <c r="AC56" s="58">
        <f>$K56+VLOOKUP($B56,Tablo1[],MONTH(AC$1)+4,0)</f>
        <v>1500</v>
      </c>
      <c r="AD56" s="59"/>
      <c r="AE56" s="58">
        <f>$K56+VLOOKUP($B56,Tablo1[],MONTH(AE$1)+4,0)</f>
        <v>1500</v>
      </c>
      <c r="AF56" s="59"/>
      <c r="AG56" s="58">
        <f>$K56+VLOOKUP($B56,Tablo1[],MONTH(AG$1)+4,0)</f>
        <v>1500</v>
      </c>
      <c r="AH56" s="59"/>
      <c r="AI56" s="58">
        <f>$K56+VLOOKUP($B56,Tablo1[],MONTH(AI$1)+4,0)</f>
        <v>1500</v>
      </c>
      <c r="AJ56" s="59"/>
    </row>
    <row r="57" spans="1:36" ht="20.25" x14ac:dyDescent="0.25">
      <c r="A57" s="9">
        <v>28</v>
      </c>
      <c r="B57" s="57" t="s">
        <v>76</v>
      </c>
      <c r="C57" s="15" t="s">
        <v>49</v>
      </c>
      <c r="D57" s="15">
        <v>27</v>
      </c>
      <c r="E57" s="15"/>
      <c r="F57" s="16"/>
      <c r="G57" t="s">
        <v>188</v>
      </c>
      <c r="H57" s="13"/>
      <c r="I57" s="14"/>
      <c r="J57" s="13"/>
      <c r="K57" s="50">
        <v>1500</v>
      </c>
      <c r="L57" s="58"/>
      <c r="M57" s="58"/>
      <c r="N57" s="59"/>
      <c r="O57" s="58"/>
      <c r="P57" s="59"/>
      <c r="Q57" s="58"/>
      <c r="R57" s="59"/>
      <c r="S57" s="58"/>
      <c r="T57" s="59"/>
      <c r="U57" s="58"/>
      <c r="V57" s="59"/>
      <c r="W57" s="58">
        <f>$K57+VLOOKUP($B57,Tablo1[],MONTH(W$1)+4,0)</f>
        <v>1500</v>
      </c>
      <c r="X57" s="59"/>
      <c r="Y57" s="58">
        <f>$K57+VLOOKUP($B57,Tablo1[],MONTH(Y$1)+4,0)</f>
        <v>1500</v>
      </c>
      <c r="Z57" s="59"/>
      <c r="AA57" s="58">
        <f>$K57+VLOOKUP($B57,Tablo1[],MONTH(AA$1)+4,0)</f>
        <v>1500</v>
      </c>
      <c r="AB57" s="59"/>
      <c r="AC57" s="58">
        <f>$K57+VLOOKUP($B57,Tablo1[],MONTH(AC$1)+4,0)</f>
        <v>1500</v>
      </c>
      <c r="AD57" s="59"/>
      <c r="AE57" s="58">
        <f>$K57+VLOOKUP($B57,Tablo1[],MONTH(AE$1)+4,0)</f>
        <v>1500</v>
      </c>
      <c r="AF57" s="59"/>
      <c r="AG57" s="58">
        <f>$K57+VLOOKUP($B57,Tablo1[],MONTH(AG$1)+4,0)</f>
        <v>1500</v>
      </c>
      <c r="AH57" s="59"/>
      <c r="AI57" s="58">
        <f>$K57+VLOOKUP($B57,Tablo1[],MONTH(AI$1)+4,0)</f>
        <v>1500</v>
      </c>
      <c r="AJ57" s="59"/>
    </row>
    <row r="58" spans="1:36" ht="20.25" x14ac:dyDescent="0.25">
      <c r="A58" s="9">
        <v>29</v>
      </c>
      <c r="B58" s="57" t="s">
        <v>77</v>
      </c>
      <c r="C58" s="15" t="s">
        <v>49</v>
      </c>
      <c r="D58" s="15">
        <v>28</v>
      </c>
      <c r="E58" s="15"/>
      <c r="F58" s="16"/>
      <c r="G58" t="s">
        <v>204</v>
      </c>
      <c r="H58" s="13"/>
      <c r="I58" s="14"/>
      <c r="J58" s="13"/>
      <c r="K58" s="50">
        <v>1500</v>
      </c>
      <c r="L58" s="58"/>
      <c r="M58" s="58"/>
      <c r="N58" s="59"/>
      <c r="O58" s="58"/>
      <c r="P58" s="59"/>
      <c r="Q58" s="58"/>
      <c r="R58" s="59"/>
      <c r="S58" s="58"/>
      <c r="T58" s="59"/>
      <c r="U58" s="58"/>
      <c r="V58" s="59"/>
      <c r="W58" s="58">
        <f>$K58+VLOOKUP($B58,Tablo1[],MONTH(W$1)+4,0)</f>
        <v>1500</v>
      </c>
      <c r="X58" s="59"/>
      <c r="Y58" s="58">
        <f>$K58+VLOOKUP($B58,Tablo1[],MONTH(Y$1)+4,0)</f>
        <v>1500</v>
      </c>
      <c r="Z58" s="59"/>
      <c r="AA58" s="58">
        <f>$K58+VLOOKUP($B58,Tablo1[],MONTH(AA$1)+4,0)</f>
        <v>1500</v>
      </c>
      <c r="AB58" s="59"/>
      <c r="AC58" s="58">
        <f>$K58+VLOOKUP($B58,Tablo1[],MONTH(AC$1)+4,0)</f>
        <v>1500</v>
      </c>
      <c r="AD58" s="59"/>
      <c r="AE58" s="58">
        <f>$K58+VLOOKUP($B58,Tablo1[],MONTH(AE$1)+4,0)</f>
        <v>1500</v>
      </c>
      <c r="AF58" s="59"/>
      <c r="AG58" s="58">
        <f>$K58+VLOOKUP($B58,Tablo1[],MONTH(AG$1)+4,0)</f>
        <v>1500</v>
      </c>
      <c r="AH58" s="59"/>
      <c r="AI58" s="58">
        <f>$K58+VLOOKUP($B58,Tablo1[],MONTH(AI$1)+4,0)</f>
        <v>1500</v>
      </c>
      <c r="AJ58" s="59"/>
    </row>
    <row r="59" spans="1:36" ht="20.25" x14ac:dyDescent="0.25">
      <c r="A59" s="9">
        <v>30</v>
      </c>
      <c r="B59" s="57" t="s">
        <v>78</v>
      </c>
      <c r="C59" s="15" t="s">
        <v>49</v>
      </c>
      <c r="D59" s="15">
        <v>29</v>
      </c>
      <c r="E59" s="15"/>
      <c r="F59" s="16"/>
      <c r="G59" t="s">
        <v>204</v>
      </c>
      <c r="H59" s="13"/>
      <c r="I59" s="14"/>
      <c r="J59" s="13"/>
      <c r="K59" s="50">
        <v>1500</v>
      </c>
      <c r="L59" s="58"/>
      <c r="M59" s="58"/>
      <c r="N59" s="59"/>
      <c r="O59" s="58"/>
      <c r="P59" s="59"/>
      <c r="Q59" s="58"/>
      <c r="R59" s="59"/>
      <c r="S59" s="58"/>
      <c r="T59" s="59"/>
      <c r="U59" s="58"/>
      <c r="V59" s="59"/>
      <c r="W59" s="58">
        <f>$K59+VLOOKUP($B59,Tablo1[],MONTH(W$1)+4,0)</f>
        <v>1500</v>
      </c>
      <c r="X59" s="59"/>
      <c r="Y59" s="58">
        <f>$K59+VLOOKUP($B59,Tablo1[],MONTH(Y$1)+4,0)</f>
        <v>1500</v>
      </c>
      <c r="Z59" s="59"/>
      <c r="AA59" s="58">
        <f>$K59+VLOOKUP($B59,Tablo1[],MONTH(AA$1)+4,0)</f>
        <v>1500</v>
      </c>
      <c r="AB59" s="59"/>
      <c r="AC59" s="58">
        <f>$K59+VLOOKUP($B59,Tablo1[],MONTH(AC$1)+4,0)</f>
        <v>1500</v>
      </c>
      <c r="AD59" s="59"/>
      <c r="AE59" s="58">
        <f>$K59+VLOOKUP($B59,Tablo1[],MONTH(AE$1)+4,0)</f>
        <v>1500</v>
      </c>
      <c r="AF59" s="59"/>
      <c r="AG59" s="58">
        <f>$K59+VLOOKUP($B59,Tablo1[],MONTH(AG$1)+4,0)</f>
        <v>1500</v>
      </c>
      <c r="AH59" s="59"/>
      <c r="AI59" s="58">
        <f>$K59+VLOOKUP($B59,Tablo1[],MONTH(AI$1)+4,0)</f>
        <v>1500</v>
      </c>
      <c r="AJ59" s="59"/>
    </row>
    <row r="60" spans="1:36" ht="20.25" x14ac:dyDescent="0.25">
      <c r="A60" s="9">
        <v>31</v>
      </c>
      <c r="B60" s="57" t="s">
        <v>79</v>
      </c>
      <c r="C60" s="15" t="s">
        <v>49</v>
      </c>
      <c r="D60" s="15">
        <v>30</v>
      </c>
      <c r="E60" s="15"/>
      <c r="F60" s="16"/>
      <c r="G60" t="s">
        <v>209</v>
      </c>
      <c r="H60" s="13"/>
      <c r="I60" s="14"/>
      <c r="J60" s="13"/>
      <c r="K60" s="50">
        <v>1500</v>
      </c>
      <c r="L60" s="58"/>
      <c r="M60" s="58"/>
      <c r="N60" s="59"/>
      <c r="O60" s="58"/>
      <c r="P60" s="59"/>
      <c r="Q60" s="58"/>
      <c r="R60" s="59"/>
      <c r="S60" s="58"/>
      <c r="T60" s="59"/>
      <c r="U60" s="58"/>
      <c r="V60" s="59"/>
      <c r="W60" s="58">
        <f>$K60+VLOOKUP($B60,Tablo1[],MONTH(W$1)+4,0)</f>
        <v>1500</v>
      </c>
      <c r="X60" s="59">
        <v>1500</v>
      </c>
      <c r="Y60" s="58">
        <f>$K60+VLOOKUP($B60,Tablo1[],MONTH(Y$1)+4,0)</f>
        <v>1500</v>
      </c>
      <c r="Z60" s="59">
        <v>1500</v>
      </c>
      <c r="AA60" s="58">
        <f>$K60+VLOOKUP($B60,Tablo1[],MONTH(AA$1)+4,0)</f>
        <v>1500</v>
      </c>
      <c r="AB60" s="59"/>
      <c r="AC60" s="58">
        <f>$K60+VLOOKUP($B60,Tablo1[],MONTH(AC$1)+4,0)</f>
        <v>1500</v>
      </c>
      <c r="AD60" s="59"/>
      <c r="AE60" s="58">
        <f>$K60+VLOOKUP($B60,Tablo1[],MONTH(AE$1)+4,0)</f>
        <v>1500</v>
      </c>
      <c r="AF60" s="59"/>
      <c r="AG60" s="58">
        <f>$K60+VLOOKUP($B60,Tablo1[],MONTH(AG$1)+4,0)</f>
        <v>1500</v>
      </c>
      <c r="AH60" s="59"/>
      <c r="AI60" s="58">
        <f>$K60+VLOOKUP($B60,Tablo1[],MONTH(AI$1)+4,0)</f>
        <v>1500</v>
      </c>
      <c r="AJ60" s="59"/>
    </row>
    <row r="61" spans="1:36" ht="20.25" x14ac:dyDescent="0.25">
      <c r="A61" s="9">
        <v>32</v>
      </c>
      <c r="B61" s="57" t="s">
        <v>80</v>
      </c>
      <c r="C61" s="15" t="s">
        <v>49</v>
      </c>
      <c r="D61" s="15">
        <v>31</v>
      </c>
      <c r="E61" s="15"/>
      <c r="F61" s="16"/>
      <c r="G61" t="s">
        <v>188</v>
      </c>
      <c r="H61" s="13"/>
      <c r="I61" s="14"/>
      <c r="J61" s="13"/>
      <c r="K61" s="50">
        <v>1500</v>
      </c>
      <c r="L61" s="58"/>
      <c r="M61" s="58"/>
      <c r="N61" s="59"/>
      <c r="O61" s="58"/>
      <c r="P61" s="59"/>
      <c r="Q61" s="58"/>
      <c r="R61" s="59"/>
      <c r="S61" s="58"/>
      <c r="T61" s="59"/>
      <c r="U61" s="58"/>
      <c r="V61" s="59"/>
      <c r="W61" s="58">
        <f>$K61+VLOOKUP($B61,Tablo1[],MONTH(W$1)+4,0)</f>
        <v>1500</v>
      </c>
      <c r="X61" s="59"/>
      <c r="Y61" s="58">
        <f>$K61+VLOOKUP($B61,Tablo1[],MONTH(Y$1)+4,0)</f>
        <v>1500</v>
      </c>
      <c r="Z61" s="59"/>
      <c r="AA61" s="58">
        <f>$K61+VLOOKUP($B61,Tablo1[],MONTH(AA$1)+4,0)</f>
        <v>1500</v>
      </c>
      <c r="AB61" s="59"/>
      <c r="AC61" s="58">
        <f>$K61+VLOOKUP($B61,Tablo1[],MONTH(AC$1)+4,0)</f>
        <v>1500</v>
      </c>
      <c r="AD61" s="59"/>
      <c r="AE61" s="58">
        <f>$K61+VLOOKUP($B61,Tablo1[],MONTH(AE$1)+4,0)</f>
        <v>1500</v>
      </c>
      <c r="AF61" s="59"/>
      <c r="AG61" s="58">
        <f>$K61+VLOOKUP($B61,Tablo1[],MONTH(AG$1)+4,0)</f>
        <v>1500</v>
      </c>
      <c r="AH61" s="59"/>
      <c r="AI61" s="58">
        <f>$K61+VLOOKUP($B61,Tablo1[],MONTH(AI$1)+4,0)</f>
        <v>1500</v>
      </c>
      <c r="AJ61" s="59"/>
    </row>
    <row r="62" spans="1:36" ht="20.25" x14ac:dyDescent="0.25">
      <c r="A62" s="9">
        <v>33</v>
      </c>
      <c r="B62" s="57" t="s">
        <v>81</v>
      </c>
      <c r="C62" s="15" t="s">
        <v>49</v>
      </c>
      <c r="D62" s="15">
        <v>32</v>
      </c>
      <c r="E62" s="15"/>
      <c r="F62" s="16"/>
      <c r="G62" t="s">
        <v>204</v>
      </c>
      <c r="H62" s="13"/>
      <c r="I62" s="19"/>
      <c r="J62" s="13"/>
      <c r="K62" s="50">
        <v>1500</v>
      </c>
      <c r="L62" s="58"/>
      <c r="M62" s="58"/>
      <c r="N62" s="59"/>
      <c r="O62" s="58"/>
      <c r="P62" s="59"/>
      <c r="Q62" s="58"/>
      <c r="R62" s="59"/>
      <c r="S62" s="58"/>
      <c r="T62" s="59"/>
      <c r="U62" s="58"/>
      <c r="V62" s="59"/>
      <c r="W62" s="58">
        <f>$K62+VLOOKUP($B62,Tablo1[],MONTH(W$1)+4,0)</f>
        <v>1500</v>
      </c>
      <c r="X62" s="59"/>
      <c r="Y62" s="58">
        <f>$K62+VLOOKUP($B62,Tablo1[],MONTH(Y$1)+4,0)</f>
        <v>1500</v>
      </c>
      <c r="Z62" s="59"/>
      <c r="AA62" s="58">
        <f>$K62+VLOOKUP($B62,Tablo1[],MONTH(AA$1)+4,0)</f>
        <v>1500</v>
      </c>
      <c r="AB62" s="59"/>
      <c r="AC62" s="58">
        <f>$K62+VLOOKUP($B62,Tablo1[],MONTH(AC$1)+4,0)</f>
        <v>1500</v>
      </c>
      <c r="AD62" s="59"/>
      <c r="AE62" s="58">
        <f>$K62+VLOOKUP($B62,Tablo1[],MONTH(AE$1)+4,0)</f>
        <v>1500</v>
      </c>
      <c r="AF62" s="59"/>
      <c r="AG62" s="58">
        <f>$K62+VLOOKUP($B62,Tablo1[],MONTH(AG$1)+4,0)</f>
        <v>1500</v>
      </c>
      <c r="AH62" s="59"/>
      <c r="AI62" s="58">
        <f>$K62+VLOOKUP($B62,Tablo1[],MONTH(AI$1)+4,0)</f>
        <v>1500</v>
      </c>
      <c r="AJ62" s="59"/>
    </row>
    <row r="63" spans="1:36" ht="20.25" x14ac:dyDescent="0.25">
      <c r="A63" s="9">
        <v>34</v>
      </c>
      <c r="B63" s="57" t="s">
        <v>82</v>
      </c>
      <c r="C63" s="15" t="s">
        <v>49</v>
      </c>
      <c r="D63" s="15">
        <v>33</v>
      </c>
      <c r="E63" s="15"/>
      <c r="F63" s="15"/>
      <c r="G63" t="s">
        <v>206</v>
      </c>
      <c r="H63" s="13"/>
      <c r="I63" s="14"/>
      <c r="J63" s="13"/>
      <c r="K63" s="50">
        <v>1500</v>
      </c>
      <c r="L63" s="58"/>
      <c r="M63" s="58"/>
      <c r="N63" s="59"/>
      <c r="O63" s="58"/>
      <c r="P63" s="59"/>
      <c r="Q63" s="58"/>
      <c r="R63" s="59"/>
      <c r="S63" s="58"/>
      <c r="T63" s="59"/>
      <c r="U63" s="58"/>
      <c r="V63" s="59"/>
      <c r="W63" s="58">
        <f>$K63+VLOOKUP($B63,Tablo1[],MONTH(W$1)+4,0)</f>
        <v>1500</v>
      </c>
      <c r="X63" s="59">
        <v>1500</v>
      </c>
      <c r="Y63" s="58">
        <f>$K63+VLOOKUP($B63,Tablo1[],MONTH(Y$1)+4,0)</f>
        <v>1500</v>
      </c>
      <c r="Z63" s="59">
        <v>1500</v>
      </c>
      <c r="AA63" s="58">
        <f>$K63+VLOOKUP($B63,Tablo1[],MONTH(AA$1)+4,0)</f>
        <v>1500</v>
      </c>
      <c r="AB63" s="59"/>
      <c r="AC63" s="58">
        <f>$K63+VLOOKUP($B63,Tablo1[],MONTH(AC$1)+4,0)</f>
        <v>1500</v>
      </c>
      <c r="AD63" s="59"/>
      <c r="AE63" s="58">
        <f>$K63+VLOOKUP($B63,Tablo1[],MONTH(AE$1)+4,0)</f>
        <v>1500</v>
      </c>
      <c r="AF63" s="59"/>
      <c r="AG63" s="58">
        <f>$K63+VLOOKUP($B63,Tablo1[],MONTH(AG$1)+4,0)</f>
        <v>1500</v>
      </c>
      <c r="AH63" s="59"/>
      <c r="AI63" s="58">
        <f>$K63+VLOOKUP($B63,Tablo1[],MONTH(AI$1)+4,0)</f>
        <v>1500</v>
      </c>
      <c r="AJ63" s="59"/>
    </row>
    <row r="64" spans="1:36" ht="20.25" x14ac:dyDescent="0.25">
      <c r="A64" s="9">
        <v>35</v>
      </c>
      <c r="B64" s="57" t="s">
        <v>84</v>
      </c>
      <c r="C64" s="15" t="s">
        <v>49</v>
      </c>
      <c r="D64" s="15">
        <v>34</v>
      </c>
      <c r="E64" s="15"/>
      <c r="F64" s="15"/>
      <c r="G64" t="s">
        <v>210</v>
      </c>
      <c r="H64" s="13"/>
      <c r="I64" s="14"/>
      <c r="J64" s="13"/>
      <c r="K64" s="50">
        <v>1500</v>
      </c>
      <c r="L64" s="58"/>
      <c r="M64" s="58"/>
      <c r="N64" s="59"/>
      <c r="O64" s="58"/>
      <c r="P64" s="59"/>
      <c r="Q64" s="58"/>
      <c r="R64" s="59"/>
      <c r="S64" s="58"/>
      <c r="T64" s="59"/>
      <c r="U64" s="58"/>
      <c r="V64" s="59"/>
      <c r="W64" s="58">
        <f>$K64+VLOOKUP($B64,Tablo1[],MONTH(W$1)+4,0)</f>
        <v>1500</v>
      </c>
      <c r="X64" s="59"/>
      <c r="Y64" s="58">
        <f>$K64+VLOOKUP($B64,Tablo1[],MONTH(Y$1)+4,0)</f>
        <v>1500</v>
      </c>
      <c r="Z64" s="59"/>
      <c r="AA64" s="58">
        <f>$K64+VLOOKUP($B64,Tablo1[],MONTH(AA$1)+4,0)</f>
        <v>1500</v>
      </c>
      <c r="AB64" s="59"/>
      <c r="AC64" s="58">
        <f>$K64+VLOOKUP($B64,Tablo1[],MONTH(AC$1)+4,0)</f>
        <v>1500</v>
      </c>
      <c r="AD64" s="59"/>
      <c r="AE64" s="58">
        <f>$K64+VLOOKUP($B64,Tablo1[],MONTH(AE$1)+4,0)</f>
        <v>1500</v>
      </c>
      <c r="AF64" s="59"/>
      <c r="AG64" s="58">
        <f>$K64+VLOOKUP($B64,Tablo1[],MONTH(AG$1)+4,0)</f>
        <v>1500</v>
      </c>
      <c r="AH64" s="59"/>
      <c r="AI64" s="58">
        <f>$K64+VLOOKUP($B64,Tablo1[],MONTH(AI$1)+4,0)</f>
        <v>1500</v>
      </c>
      <c r="AJ64" s="59"/>
    </row>
    <row r="65" spans="1:36" ht="20.25" x14ac:dyDescent="0.25">
      <c r="A65" s="9">
        <v>36</v>
      </c>
      <c r="B65" s="57" t="s">
        <v>85</v>
      </c>
      <c r="C65" s="15" t="s">
        <v>49</v>
      </c>
      <c r="D65" s="15">
        <v>35</v>
      </c>
      <c r="E65" s="15"/>
      <c r="F65" s="15"/>
      <c r="G65" t="s">
        <v>188</v>
      </c>
      <c r="H65" s="13"/>
      <c r="I65" s="14"/>
      <c r="J65" s="13"/>
      <c r="K65" s="50">
        <v>1500</v>
      </c>
      <c r="L65" s="58"/>
      <c r="M65" s="58"/>
      <c r="N65" s="59"/>
      <c r="O65" s="58"/>
      <c r="P65" s="59"/>
      <c r="Q65" s="58"/>
      <c r="R65" s="59"/>
      <c r="S65" s="58"/>
      <c r="T65" s="59"/>
      <c r="U65" s="58"/>
      <c r="V65" s="59"/>
      <c r="W65" s="58">
        <f>$K65+VLOOKUP($B65,Tablo1[],MONTH(W$1)+4,0)</f>
        <v>1500</v>
      </c>
      <c r="X65" s="59"/>
      <c r="Y65" s="58">
        <f>$K65+VLOOKUP($B65,Tablo1[],MONTH(Y$1)+4,0)</f>
        <v>1500</v>
      </c>
      <c r="Z65" s="59"/>
      <c r="AA65" s="58">
        <f>$K65+VLOOKUP($B65,Tablo1[],MONTH(AA$1)+4,0)</f>
        <v>1500</v>
      </c>
      <c r="AB65" s="59"/>
      <c r="AC65" s="58">
        <f>$K65+VLOOKUP($B65,Tablo1[],MONTH(AC$1)+4,0)</f>
        <v>1500</v>
      </c>
      <c r="AD65" s="59"/>
      <c r="AE65" s="58">
        <f>$K65+VLOOKUP($B65,Tablo1[],MONTH(AE$1)+4,0)</f>
        <v>1500</v>
      </c>
      <c r="AF65" s="59"/>
      <c r="AG65" s="58">
        <f>$K65+VLOOKUP($B65,Tablo1[],MONTH(AG$1)+4,0)</f>
        <v>1500</v>
      </c>
      <c r="AH65" s="59"/>
      <c r="AI65" s="58">
        <f>$K65+VLOOKUP($B65,Tablo1[],MONTH(AI$1)+4,0)</f>
        <v>1500</v>
      </c>
      <c r="AJ65" s="59"/>
    </row>
    <row r="66" spans="1:36" ht="20.25" x14ac:dyDescent="0.25">
      <c r="A66" s="9">
        <v>37</v>
      </c>
      <c r="B66" s="57" t="s">
        <v>86</v>
      </c>
      <c r="C66" s="15" t="s">
        <v>49</v>
      </c>
      <c r="D66" s="15">
        <v>36</v>
      </c>
      <c r="E66" s="15"/>
      <c r="F66" s="15"/>
      <c r="G66" t="s">
        <v>204</v>
      </c>
      <c r="H66" s="13"/>
      <c r="I66" s="14"/>
      <c r="J66" s="13"/>
      <c r="K66" s="50">
        <v>1500</v>
      </c>
      <c r="L66" s="58"/>
      <c r="M66" s="58"/>
      <c r="N66" s="59"/>
      <c r="O66" s="58"/>
      <c r="P66" s="59"/>
      <c r="Q66" s="58"/>
      <c r="R66" s="59"/>
      <c r="S66" s="58"/>
      <c r="T66" s="59"/>
      <c r="U66" s="58"/>
      <c r="V66" s="59"/>
      <c r="W66" s="58">
        <f>$K66+VLOOKUP($B66,Tablo1[],MONTH(W$1)+4,0)</f>
        <v>1500</v>
      </c>
      <c r="X66" s="59"/>
      <c r="Y66" s="58">
        <f>$K66+VLOOKUP($B66,Tablo1[],MONTH(Y$1)+4,0)</f>
        <v>1500</v>
      </c>
      <c r="Z66" s="59"/>
      <c r="AA66" s="58">
        <f>$K66+VLOOKUP($B66,Tablo1[],MONTH(AA$1)+4,0)</f>
        <v>1500</v>
      </c>
      <c r="AB66" s="59"/>
      <c r="AC66" s="58">
        <f>$K66+VLOOKUP($B66,Tablo1[],MONTH(AC$1)+4,0)</f>
        <v>1500</v>
      </c>
      <c r="AD66" s="59"/>
      <c r="AE66" s="58">
        <f>$K66+VLOOKUP($B66,Tablo1[],MONTH(AE$1)+4,0)</f>
        <v>1500</v>
      </c>
      <c r="AF66" s="59"/>
      <c r="AG66" s="58">
        <f>$K66+VLOOKUP($B66,Tablo1[],MONTH(AG$1)+4,0)</f>
        <v>1500</v>
      </c>
      <c r="AH66" s="59"/>
      <c r="AI66" s="58">
        <f>$K66+VLOOKUP($B66,Tablo1[],MONTH(AI$1)+4,0)</f>
        <v>1500</v>
      </c>
      <c r="AJ66" s="59"/>
    </row>
    <row r="67" spans="1:36" ht="27.75" customHeight="1" x14ac:dyDescent="0.5">
      <c r="K67" s="68" t="s">
        <v>4</v>
      </c>
      <c r="W67" s="52">
        <f>SUM(W3:W66)</f>
        <v>96000</v>
      </c>
      <c r="X67" s="52">
        <f>SUM(X3:X66)</f>
        <v>30000</v>
      </c>
      <c r="Y67" s="52">
        <f t="shared" ref="Y67:AJ67" si="0">SUM(Y3:Y66)</f>
        <v>96000</v>
      </c>
      <c r="Z67" s="52">
        <f t="shared" si="0"/>
        <v>28500</v>
      </c>
      <c r="AA67" s="52">
        <f t="shared" si="0"/>
        <v>96000</v>
      </c>
      <c r="AB67" s="52">
        <f t="shared" si="0"/>
        <v>0</v>
      </c>
      <c r="AC67" s="52">
        <f t="shared" si="0"/>
        <v>96000</v>
      </c>
      <c r="AD67" s="52">
        <f t="shared" si="0"/>
        <v>0</v>
      </c>
      <c r="AE67" s="52">
        <f t="shared" si="0"/>
        <v>96000</v>
      </c>
      <c r="AF67" s="52">
        <f t="shared" si="0"/>
        <v>0</v>
      </c>
      <c r="AG67" s="52">
        <f t="shared" si="0"/>
        <v>96000</v>
      </c>
      <c r="AH67" s="52">
        <f t="shared" si="0"/>
        <v>0</v>
      </c>
      <c r="AI67" s="52">
        <f t="shared" si="0"/>
        <v>96000</v>
      </c>
      <c r="AJ67" s="52">
        <f t="shared" si="0"/>
        <v>0</v>
      </c>
    </row>
  </sheetData>
  <autoFilter ref="A1:AJ66">
    <filterColumn colId="0" showButton="0"/>
    <filterColumn colId="1" showButton="0"/>
    <filterColumn colId="2" showButton="0"/>
    <filterColumn colId="3" showButton="0"/>
    <filterColumn colId="4" showButton="0"/>
    <filterColumn colId="7" showButton="0"/>
    <filterColumn colId="9" showButton="0"/>
    <filterColumn colId="11" showButton="0"/>
    <filterColumn colId="12" showButton="0"/>
    <filterColumn colId="13" showButton="0"/>
    <filterColumn colId="14" showButton="0"/>
    <filterColumn colId="16" showButton="0"/>
    <filterColumn colId="18" showButton="0"/>
    <filterColumn colId="20" showButton="0"/>
    <filterColumn colId="22" showButton="0"/>
    <filterColumn colId="24" showButton="0"/>
    <filterColumn colId="26" showButton="0"/>
    <filterColumn colId="28" showButton="0"/>
    <filterColumn colId="30" showButton="0"/>
    <filterColumn colId="32" showButton="0"/>
    <filterColumn colId="34" showButton="0"/>
  </autoFilter>
  <mergeCells count="15">
    <mergeCell ref="L1:N1"/>
    <mergeCell ref="A1:F1"/>
    <mergeCell ref="H1:I1"/>
    <mergeCell ref="J1:K1"/>
    <mergeCell ref="AI1:AJ1"/>
    <mergeCell ref="AG1:AH1"/>
    <mergeCell ref="AE1:AF1"/>
    <mergeCell ref="AC1:AD1"/>
    <mergeCell ref="AA1:AB1"/>
    <mergeCell ref="Y1:Z1"/>
    <mergeCell ref="W1:X1"/>
    <mergeCell ref="U1:V1"/>
    <mergeCell ref="S1:T1"/>
    <mergeCell ref="Q1:R1"/>
    <mergeCell ref="O1:P1"/>
  </mergeCells>
  <conditionalFormatting sqref="P3:P66 R3:R66 T3:T66 V3:V66 X3:X66 Z3:Z66 AB3:AB66 AD3:AD66 AF3:AF66 AH3:AH66 AJ3:AJ66">
    <cfRule type="expression" dxfId="7" priority="57">
      <formula>P3&gt;O3</formula>
    </cfRule>
    <cfRule type="expression" dxfId="6" priority="58">
      <formula>P3=O3</formula>
    </cfRule>
    <cfRule type="expression" dxfId="5" priority="59">
      <formula>P3&gt;0</formula>
    </cfRule>
    <cfRule type="expression" dxfId="4" priority="60">
      <formula>P3=0</formula>
    </cfRule>
  </conditionalFormatting>
  <conditionalFormatting sqref="N3:N66">
    <cfRule type="expression" dxfId="3" priority="1">
      <formula>N3&gt;M3</formula>
    </cfRule>
    <cfRule type="expression" dxfId="2" priority="2">
      <formula>N3=M3</formula>
    </cfRule>
    <cfRule type="expression" dxfId="1" priority="3">
      <formula>N3&gt;0</formula>
    </cfRule>
    <cfRule type="expression" dxfId="0" priority="4">
      <formula>N3=0</formula>
    </cfRule>
  </conditionalFormatting>
  <pageMargins left="0.23622047244094491" right="0.23622047244094491" top="0.74803149606299213" bottom="0.74803149606299213" header="0.31496062992125984" footer="0.31496062992125984"/>
  <pageSetup paperSize="9" scale="29" fitToHeight="0" orientation="landscape" horizontalDpi="4294967293" vertic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6"/>
  <sheetViews>
    <sheetView tabSelected="1" zoomScale="70" zoomScaleNormal="70" workbookViewId="0">
      <pane xSplit="6" ySplit="1" topLeftCell="G2" activePane="bottomRight" state="frozen"/>
      <selection pane="topRight" activeCell="G1" sqref="G1"/>
      <selection pane="bottomLeft" activeCell="A3" sqref="A3"/>
      <selection pane="bottomRight" activeCell="J29" sqref="J29"/>
    </sheetView>
  </sheetViews>
  <sheetFormatPr defaultRowHeight="15" x14ac:dyDescent="0.25"/>
  <cols>
    <col min="1" max="1" width="8.85546875" bestFit="1" customWidth="1"/>
    <col min="2" max="2" width="6.85546875" hidden="1" customWidth="1"/>
    <col min="3" max="3" width="9.85546875" bestFit="1" customWidth="1"/>
    <col min="4" max="4" width="14.7109375" bestFit="1" customWidth="1"/>
    <col min="5" max="5" width="12" bestFit="1" customWidth="1"/>
    <col min="6" max="6" width="7.140625" bestFit="1" customWidth="1"/>
    <col min="7" max="7" width="54.42578125" customWidth="1"/>
    <col min="8" max="8" width="22.7109375" style="84" bestFit="1" customWidth="1"/>
    <col min="9" max="9" width="23.5703125" style="84" customWidth="1"/>
  </cols>
  <sheetData>
    <row r="1" spans="1:9" ht="18.75" thickBot="1" x14ac:dyDescent="0.3">
      <c r="A1" s="62" t="s">
        <v>5</v>
      </c>
      <c r="B1" s="62"/>
      <c r="C1" s="62" t="s">
        <v>6</v>
      </c>
      <c r="D1" s="62" t="s">
        <v>7</v>
      </c>
      <c r="E1" s="62" t="s">
        <v>8</v>
      </c>
      <c r="F1" s="62" t="s">
        <v>9</v>
      </c>
      <c r="G1" s="62" t="s">
        <v>10</v>
      </c>
      <c r="H1" s="62" t="s">
        <v>226</v>
      </c>
      <c r="I1" s="62" t="s">
        <v>227</v>
      </c>
    </row>
    <row r="2" spans="1:9" ht="20.25" x14ac:dyDescent="0.25">
      <c r="A2" s="3">
        <v>1</v>
      </c>
      <c r="B2" s="56" t="s">
        <v>16</v>
      </c>
      <c r="C2" s="4" t="s">
        <v>17</v>
      </c>
      <c r="D2" s="4">
        <v>1</v>
      </c>
      <c r="E2" s="4"/>
      <c r="F2" s="5"/>
      <c r="G2" s="85" t="s">
        <v>188</v>
      </c>
      <c r="H2" s="7" t="s">
        <v>225</v>
      </c>
      <c r="I2" s="142"/>
    </row>
    <row r="3" spans="1:9" ht="20.25" x14ac:dyDescent="0.25">
      <c r="A3" s="9">
        <v>2</v>
      </c>
      <c r="B3" s="57" t="s">
        <v>19</v>
      </c>
      <c r="C3" s="10" t="s">
        <v>17</v>
      </c>
      <c r="D3" s="10">
        <v>2</v>
      </c>
      <c r="E3" s="10"/>
      <c r="F3" s="11"/>
      <c r="G3" t="s">
        <v>211</v>
      </c>
      <c r="H3" s="13"/>
      <c r="I3" s="143" t="s">
        <v>225</v>
      </c>
    </row>
    <row r="4" spans="1:9" ht="20.25" x14ac:dyDescent="0.25">
      <c r="A4" s="9">
        <v>3</v>
      </c>
      <c r="B4" s="57" t="s">
        <v>21</v>
      </c>
      <c r="C4" s="10" t="s">
        <v>17</v>
      </c>
      <c r="D4" s="10">
        <v>3</v>
      </c>
      <c r="E4" s="10"/>
      <c r="F4" s="11"/>
      <c r="G4" s="85" t="s">
        <v>188</v>
      </c>
      <c r="H4" s="13" t="s">
        <v>225</v>
      </c>
      <c r="I4" s="143"/>
    </row>
    <row r="5" spans="1:9" ht="20.25" x14ac:dyDescent="0.25">
      <c r="A5" s="9">
        <v>4</v>
      </c>
      <c r="B5" s="57" t="s">
        <v>23</v>
      </c>
      <c r="C5" s="10" t="s">
        <v>17</v>
      </c>
      <c r="D5" s="10">
        <v>4</v>
      </c>
      <c r="E5" s="10"/>
      <c r="F5" s="11"/>
      <c r="G5" t="s">
        <v>212</v>
      </c>
      <c r="H5" s="13"/>
      <c r="I5" s="143" t="s">
        <v>225</v>
      </c>
    </row>
    <row r="6" spans="1:9" ht="20.25" x14ac:dyDescent="0.25">
      <c r="A6" s="9">
        <v>5</v>
      </c>
      <c r="B6" s="57" t="s">
        <v>25</v>
      </c>
      <c r="C6" s="10" t="s">
        <v>17</v>
      </c>
      <c r="D6" s="10">
        <v>5</v>
      </c>
      <c r="E6" s="10"/>
      <c r="F6" s="11"/>
      <c r="G6" s="85" t="s">
        <v>188</v>
      </c>
      <c r="H6" s="13" t="s">
        <v>225</v>
      </c>
      <c r="I6" s="143"/>
    </row>
    <row r="7" spans="1:9" ht="20.25" x14ac:dyDescent="0.25">
      <c r="A7" s="9">
        <v>6</v>
      </c>
      <c r="B7" s="57" t="s">
        <v>26</v>
      </c>
      <c r="C7" s="10" t="s">
        <v>17</v>
      </c>
      <c r="D7" s="10">
        <v>6</v>
      </c>
      <c r="E7" s="10"/>
      <c r="F7" s="11"/>
      <c r="G7" s="85" t="s">
        <v>188</v>
      </c>
      <c r="H7" s="13" t="s">
        <v>225</v>
      </c>
      <c r="I7" s="143"/>
    </row>
    <row r="8" spans="1:9" ht="20.25" x14ac:dyDescent="0.25">
      <c r="A8" s="9">
        <v>7</v>
      </c>
      <c r="B8" s="57" t="s">
        <v>27</v>
      </c>
      <c r="C8" s="10" t="s">
        <v>17</v>
      </c>
      <c r="D8" s="10">
        <v>7</v>
      </c>
      <c r="E8" s="10"/>
      <c r="F8" s="11"/>
      <c r="G8" s="86" t="s">
        <v>189</v>
      </c>
      <c r="H8" s="13"/>
      <c r="I8" s="143" t="s">
        <v>225</v>
      </c>
    </row>
    <row r="9" spans="1:9" ht="20.25" x14ac:dyDescent="0.25">
      <c r="A9" s="9">
        <v>8</v>
      </c>
      <c r="B9" s="57" t="s">
        <v>28</v>
      </c>
      <c r="C9" s="10" t="s">
        <v>17</v>
      </c>
      <c r="D9" s="10">
        <v>8</v>
      </c>
      <c r="E9" s="10"/>
      <c r="F9" s="11"/>
      <c r="G9" t="s">
        <v>190</v>
      </c>
      <c r="H9" s="13"/>
      <c r="I9" s="143" t="s">
        <v>225</v>
      </c>
    </row>
    <row r="10" spans="1:9" ht="20.25" x14ac:dyDescent="0.25">
      <c r="A10" s="9">
        <v>9</v>
      </c>
      <c r="B10" s="57" t="s">
        <v>29</v>
      </c>
      <c r="C10" s="10" t="s">
        <v>17</v>
      </c>
      <c r="D10" s="10">
        <v>9</v>
      </c>
      <c r="E10" s="10"/>
      <c r="F10" s="11"/>
      <c r="G10" s="85" t="s">
        <v>191</v>
      </c>
      <c r="H10" s="13"/>
      <c r="I10" s="143" t="s">
        <v>225</v>
      </c>
    </row>
    <row r="11" spans="1:9" ht="20.25" x14ac:dyDescent="0.25">
      <c r="A11" s="9">
        <v>10</v>
      </c>
      <c r="B11" s="57" t="s">
        <v>30</v>
      </c>
      <c r="C11" s="10" t="s">
        <v>17</v>
      </c>
      <c r="D11" s="10">
        <v>10</v>
      </c>
      <c r="E11" s="10"/>
      <c r="F11" s="11"/>
      <c r="G11" t="s">
        <v>213</v>
      </c>
      <c r="H11" s="13"/>
      <c r="I11" s="143" t="s">
        <v>225</v>
      </c>
    </row>
    <row r="12" spans="1:9" ht="20.25" x14ac:dyDescent="0.25">
      <c r="A12" s="9">
        <v>11</v>
      </c>
      <c r="B12" s="57" t="s">
        <v>31</v>
      </c>
      <c r="C12" s="10" t="s">
        <v>17</v>
      </c>
      <c r="D12" s="10">
        <v>11</v>
      </c>
      <c r="E12" s="10"/>
      <c r="F12" s="11"/>
      <c r="G12" t="s">
        <v>192</v>
      </c>
      <c r="H12" s="13"/>
      <c r="I12" s="143" t="s">
        <v>225</v>
      </c>
    </row>
    <row r="13" spans="1:9" ht="20.25" x14ac:dyDescent="0.25">
      <c r="A13" s="9">
        <v>12</v>
      </c>
      <c r="B13" s="57" t="s">
        <v>32</v>
      </c>
      <c r="C13" s="10" t="s">
        <v>17</v>
      </c>
      <c r="D13" s="10">
        <v>12</v>
      </c>
      <c r="E13" s="10"/>
      <c r="F13" s="11"/>
      <c r="G13" s="85" t="s">
        <v>224</v>
      </c>
      <c r="H13" s="13" t="s">
        <v>225</v>
      </c>
      <c r="I13" s="143"/>
    </row>
    <row r="14" spans="1:9" ht="20.25" x14ac:dyDescent="0.25">
      <c r="A14" s="9">
        <v>13</v>
      </c>
      <c r="B14" s="57" t="s">
        <v>33</v>
      </c>
      <c r="C14" s="10" t="s">
        <v>17</v>
      </c>
      <c r="D14" s="10">
        <v>13</v>
      </c>
      <c r="E14" s="10"/>
      <c r="F14" s="11"/>
      <c r="G14" t="s">
        <v>214</v>
      </c>
      <c r="H14" s="13"/>
      <c r="I14" s="143" t="s">
        <v>225</v>
      </c>
    </row>
    <row r="15" spans="1:9" ht="20.25" x14ac:dyDescent="0.25">
      <c r="A15" s="9">
        <v>14</v>
      </c>
      <c r="B15" s="57" t="s">
        <v>34</v>
      </c>
      <c r="C15" s="10" t="s">
        <v>17</v>
      </c>
      <c r="D15" s="10">
        <v>14</v>
      </c>
      <c r="E15" s="10"/>
      <c r="F15" s="11"/>
      <c r="G15" t="s">
        <v>193</v>
      </c>
      <c r="H15" s="13"/>
      <c r="I15" s="143" t="s">
        <v>225</v>
      </c>
    </row>
    <row r="16" spans="1:9" ht="20.25" x14ac:dyDescent="0.25">
      <c r="A16" s="9">
        <v>15</v>
      </c>
      <c r="B16" s="57" t="s">
        <v>35</v>
      </c>
      <c r="C16" s="10" t="s">
        <v>17</v>
      </c>
      <c r="D16" s="10">
        <v>15</v>
      </c>
      <c r="E16" s="10"/>
      <c r="F16" s="11"/>
      <c r="G16" t="s">
        <v>194</v>
      </c>
      <c r="H16" s="13"/>
      <c r="I16" s="143" t="s">
        <v>225</v>
      </c>
    </row>
    <row r="17" spans="1:9" ht="20.25" x14ac:dyDescent="0.25">
      <c r="A17" s="9">
        <v>16</v>
      </c>
      <c r="B17" s="57" t="s">
        <v>36</v>
      </c>
      <c r="C17" s="10" t="s">
        <v>17</v>
      </c>
      <c r="D17" s="10">
        <v>16</v>
      </c>
      <c r="E17" s="10"/>
      <c r="F17" s="11"/>
      <c r="G17" t="s">
        <v>195</v>
      </c>
      <c r="H17" s="13"/>
      <c r="I17" s="143" t="s">
        <v>225</v>
      </c>
    </row>
    <row r="18" spans="1:9" ht="20.25" x14ac:dyDescent="0.25">
      <c r="A18" s="9">
        <v>17</v>
      </c>
      <c r="B18" s="57" t="s">
        <v>37</v>
      </c>
      <c r="C18" s="10" t="s">
        <v>17</v>
      </c>
      <c r="D18" s="10">
        <v>17</v>
      </c>
      <c r="E18" s="10"/>
      <c r="F18" s="11"/>
      <c r="G18" t="s">
        <v>196</v>
      </c>
      <c r="H18" s="13"/>
      <c r="I18" s="143" t="s">
        <v>225</v>
      </c>
    </row>
    <row r="19" spans="1:9" ht="20.25" x14ac:dyDescent="0.25">
      <c r="A19" s="9">
        <v>18</v>
      </c>
      <c r="B19" s="57" t="s">
        <v>38</v>
      </c>
      <c r="C19" s="10" t="s">
        <v>17</v>
      </c>
      <c r="D19" s="10">
        <v>18</v>
      </c>
      <c r="E19" s="10"/>
      <c r="F19" s="11"/>
      <c r="G19" t="s">
        <v>197</v>
      </c>
      <c r="H19" s="13"/>
      <c r="I19" s="143" t="s">
        <v>225</v>
      </c>
    </row>
    <row r="20" spans="1:9" ht="20.25" x14ac:dyDescent="0.25">
      <c r="A20" s="9">
        <v>19</v>
      </c>
      <c r="B20" s="57" t="s">
        <v>39</v>
      </c>
      <c r="C20" s="10" t="s">
        <v>17</v>
      </c>
      <c r="D20" s="10">
        <v>19</v>
      </c>
      <c r="E20" s="10"/>
      <c r="F20" s="11"/>
      <c r="G20" t="s">
        <v>215</v>
      </c>
      <c r="H20" s="13"/>
      <c r="I20" s="143" t="s">
        <v>225</v>
      </c>
    </row>
    <row r="21" spans="1:9" ht="20.25" x14ac:dyDescent="0.25">
      <c r="A21" s="9">
        <v>20</v>
      </c>
      <c r="B21" s="57" t="s">
        <v>40</v>
      </c>
      <c r="C21" s="10" t="s">
        <v>17</v>
      </c>
      <c r="D21" s="10">
        <v>20</v>
      </c>
      <c r="E21" s="10"/>
      <c r="F21" s="11"/>
      <c r="G21" t="s">
        <v>216</v>
      </c>
      <c r="H21" s="13"/>
      <c r="I21" s="143" t="s">
        <v>225</v>
      </c>
    </row>
    <row r="22" spans="1:9" ht="20.25" x14ac:dyDescent="0.25">
      <c r="A22" s="9">
        <v>21</v>
      </c>
      <c r="B22" s="57" t="s">
        <v>41</v>
      </c>
      <c r="C22" s="10" t="s">
        <v>17</v>
      </c>
      <c r="D22" s="10">
        <v>21</v>
      </c>
      <c r="E22" s="10"/>
      <c r="F22" s="11"/>
      <c r="G22" t="s">
        <v>217</v>
      </c>
      <c r="H22" s="13" t="s">
        <v>225</v>
      </c>
      <c r="I22" s="143"/>
    </row>
    <row r="23" spans="1:9" ht="20.25" x14ac:dyDescent="0.25">
      <c r="A23" s="9">
        <v>22</v>
      </c>
      <c r="B23" s="57" t="s">
        <v>42</v>
      </c>
      <c r="C23" s="10" t="s">
        <v>17</v>
      </c>
      <c r="D23" s="10">
        <v>22</v>
      </c>
      <c r="E23" s="10"/>
      <c r="F23" s="11"/>
      <c r="G23" t="s">
        <v>198</v>
      </c>
      <c r="H23" s="13"/>
      <c r="I23" s="143" t="s">
        <v>225</v>
      </c>
    </row>
    <row r="24" spans="1:9" ht="20.25" x14ac:dyDescent="0.25">
      <c r="A24" s="9">
        <v>23</v>
      </c>
      <c r="B24" s="57" t="s">
        <v>43</v>
      </c>
      <c r="C24" s="10" t="s">
        <v>17</v>
      </c>
      <c r="D24" s="10">
        <v>23</v>
      </c>
      <c r="E24" s="10"/>
      <c r="F24" s="11"/>
      <c r="G24" t="s">
        <v>199</v>
      </c>
      <c r="H24" s="13"/>
      <c r="I24" s="143" t="s">
        <v>225</v>
      </c>
    </row>
    <row r="25" spans="1:9" ht="20.25" x14ac:dyDescent="0.25">
      <c r="A25" s="9">
        <v>24</v>
      </c>
      <c r="B25" s="57" t="s">
        <v>44</v>
      </c>
      <c r="C25" s="10" t="s">
        <v>17</v>
      </c>
      <c r="D25" s="10">
        <v>24</v>
      </c>
      <c r="E25" s="10"/>
      <c r="F25" s="11"/>
      <c r="G25" t="s">
        <v>200</v>
      </c>
      <c r="H25" s="13"/>
      <c r="I25" s="143" t="s">
        <v>225</v>
      </c>
    </row>
    <row r="26" spans="1:9" ht="20.25" x14ac:dyDescent="0.25">
      <c r="A26" s="9">
        <v>25</v>
      </c>
      <c r="B26" s="57" t="s">
        <v>45</v>
      </c>
      <c r="C26" s="10" t="s">
        <v>17</v>
      </c>
      <c r="D26" s="10">
        <v>25</v>
      </c>
      <c r="E26" s="10"/>
      <c r="F26" s="11"/>
      <c r="G26" t="s">
        <v>201</v>
      </c>
      <c r="H26" s="13"/>
      <c r="I26" s="143" t="s">
        <v>225</v>
      </c>
    </row>
    <row r="27" spans="1:9" ht="20.25" x14ac:dyDescent="0.25">
      <c r="A27" s="9">
        <v>26</v>
      </c>
      <c r="B27" s="57" t="s">
        <v>46</v>
      </c>
      <c r="C27" s="10" t="s">
        <v>17</v>
      </c>
      <c r="D27" s="10">
        <v>26</v>
      </c>
      <c r="E27" s="10"/>
      <c r="F27" s="11"/>
      <c r="G27" t="s">
        <v>202</v>
      </c>
      <c r="H27" s="13"/>
      <c r="I27" s="143" t="s">
        <v>225</v>
      </c>
    </row>
    <row r="28" spans="1:9" ht="20.25" x14ac:dyDescent="0.25">
      <c r="A28" s="9">
        <v>27</v>
      </c>
      <c r="B28" s="57" t="s">
        <v>47</v>
      </c>
      <c r="C28" s="10" t="s">
        <v>17</v>
      </c>
      <c r="D28" s="10">
        <v>27</v>
      </c>
      <c r="E28" s="10"/>
      <c r="F28" s="11"/>
      <c r="G28" t="s">
        <v>218</v>
      </c>
      <c r="H28" s="13" t="s">
        <v>225</v>
      </c>
      <c r="I28" s="143"/>
    </row>
    <row r="29" spans="1:9" ht="20.25" x14ac:dyDescent="0.25">
      <c r="A29" s="9">
        <v>1</v>
      </c>
      <c r="B29" s="57" t="s">
        <v>48</v>
      </c>
      <c r="C29" s="15" t="s">
        <v>49</v>
      </c>
      <c r="D29" s="15">
        <v>0</v>
      </c>
      <c r="E29" s="15"/>
      <c r="F29" s="16"/>
      <c r="G29" s="12" t="s">
        <v>219</v>
      </c>
      <c r="H29" s="25" t="s">
        <v>225</v>
      </c>
      <c r="I29" s="144"/>
    </row>
    <row r="30" spans="1:9" ht="20.25" x14ac:dyDescent="0.25">
      <c r="A30" s="9">
        <v>2</v>
      </c>
      <c r="B30" s="57" t="s">
        <v>50</v>
      </c>
      <c r="C30" s="15" t="s">
        <v>49</v>
      </c>
      <c r="D30" s="15">
        <v>1</v>
      </c>
      <c r="E30" s="15"/>
      <c r="F30" s="16"/>
      <c r="G30" t="s">
        <v>203</v>
      </c>
      <c r="H30" s="13"/>
      <c r="I30" s="143" t="s">
        <v>225</v>
      </c>
    </row>
    <row r="31" spans="1:9" ht="20.25" x14ac:dyDescent="0.25">
      <c r="A31" s="9">
        <v>3</v>
      </c>
      <c r="B31" s="57" t="s">
        <v>51</v>
      </c>
      <c r="C31" s="15" t="s">
        <v>49</v>
      </c>
      <c r="D31" s="15">
        <v>2</v>
      </c>
      <c r="E31" s="15"/>
      <c r="F31" s="16"/>
      <c r="G31" t="s">
        <v>188</v>
      </c>
      <c r="H31" s="13" t="s">
        <v>225</v>
      </c>
      <c r="I31" s="143"/>
    </row>
    <row r="32" spans="1:9" ht="20.25" x14ac:dyDescent="0.25">
      <c r="A32" s="9">
        <v>4</v>
      </c>
      <c r="B32" s="57" t="s">
        <v>52</v>
      </c>
      <c r="C32" s="15" t="s">
        <v>49</v>
      </c>
      <c r="D32" s="15">
        <v>3</v>
      </c>
      <c r="E32" s="15"/>
      <c r="F32" s="16"/>
      <c r="G32" t="s">
        <v>218</v>
      </c>
      <c r="H32" s="13" t="s">
        <v>225</v>
      </c>
      <c r="I32" s="143"/>
    </row>
    <row r="33" spans="1:9" ht="20.25" x14ac:dyDescent="0.25">
      <c r="A33" s="9">
        <v>5</v>
      </c>
      <c r="B33" s="57" t="s">
        <v>53</v>
      </c>
      <c r="C33" s="15" t="s">
        <v>49</v>
      </c>
      <c r="D33" s="15">
        <v>4</v>
      </c>
      <c r="E33" s="15"/>
      <c r="F33" s="16"/>
      <c r="G33" t="s">
        <v>204</v>
      </c>
      <c r="H33" s="13"/>
      <c r="I33" s="143" t="s">
        <v>225</v>
      </c>
    </row>
    <row r="34" spans="1:9" ht="20.25" x14ac:dyDescent="0.25">
      <c r="A34" s="9">
        <v>6</v>
      </c>
      <c r="B34" s="57" t="s">
        <v>54</v>
      </c>
      <c r="C34" s="15" t="s">
        <v>49</v>
      </c>
      <c r="D34" s="15">
        <v>5</v>
      </c>
      <c r="E34" s="15"/>
      <c r="F34" s="16"/>
      <c r="G34" t="s">
        <v>203</v>
      </c>
      <c r="H34" s="13"/>
      <c r="I34" s="143" t="s">
        <v>225</v>
      </c>
    </row>
    <row r="35" spans="1:9" ht="20.25" x14ac:dyDescent="0.25">
      <c r="A35" s="9">
        <v>7</v>
      </c>
      <c r="B35" s="57" t="s">
        <v>55</v>
      </c>
      <c r="C35" s="15" t="s">
        <v>49</v>
      </c>
      <c r="D35" s="15">
        <v>6</v>
      </c>
      <c r="E35" s="15"/>
      <c r="F35" s="16"/>
      <c r="G35" t="s">
        <v>205</v>
      </c>
      <c r="H35" s="13"/>
      <c r="I35" s="143" t="s">
        <v>225</v>
      </c>
    </row>
    <row r="36" spans="1:9" ht="20.25" x14ac:dyDescent="0.25">
      <c r="A36" s="9">
        <v>8</v>
      </c>
      <c r="B36" s="57" t="s">
        <v>56</v>
      </c>
      <c r="C36" s="15" t="s">
        <v>49</v>
      </c>
      <c r="D36" s="15">
        <v>7</v>
      </c>
      <c r="E36" s="15"/>
      <c r="F36" s="16"/>
      <c r="G36" t="s">
        <v>188</v>
      </c>
      <c r="H36" s="13" t="s">
        <v>225</v>
      </c>
      <c r="I36" s="143"/>
    </row>
    <row r="37" spans="1:9" ht="20.25" x14ac:dyDescent="0.25">
      <c r="A37" s="9">
        <v>9</v>
      </c>
      <c r="B37" s="57" t="s">
        <v>57</v>
      </c>
      <c r="C37" s="15" t="s">
        <v>49</v>
      </c>
      <c r="D37" s="15">
        <v>8</v>
      </c>
      <c r="E37" s="15"/>
      <c r="F37" s="16"/>
      <c r="G37" t="s">
        <v>204</v>
      </c>
      <c r="H37" s="13"/>
      <c r="I37" s="143" t="s">
        <v>225</v>
      </c>
    </row>
    <row r="38" spans="1:9" ht="20.25" x14ac:dyDescent="0.25">
      <c r="A38" s="9">
        <v>10</v>
      </c>
      <c r="B38" s="57" t="s">
        <v>58</v>
      </c>
      <c r="C38" s="15" t="s">
        <v>49</v>
      </c>
      <c r="D38" s="15">
        <v>9</v>
      </c>
      <c r="E38" s="15"/>
      <c r="F38" s="16"/>
      <c r="G38" t="s">
        <v>206</v>
      </c>
      <c r="H38" s="13"/>
      <c r="I38" s="143" t="s">
        <v>225</v>
      </c>
    </row>
    <row r="39" spans="1:9" ht="20.25" x14ac:dyDescent="0.25">
      <c r="A39" s="9">
        <v>11</v>
      </c>
      <c r="B39" s="57" t="s">
        <v>59</v>
      </c>
      <c r="C39" s="15" t="s">
        <v>49</v>
      </c>
      <c r="D39" s="15">
        <v>10</v>
      </c>
      <c r="E39" s="15"/>
      <c r="F39" s="16"/>
      <c r="G39" t="s">
        <v>188</v>
      </c>
      <c r="H39" s="13" t="s">
        <v>225</v>
      </c>
      <c r="I39" s="143"/>
    </row>
    <row r="40" spans="1:9" ht="20.25" x14ac:dyDescent="0.25">
      <c r="A40" s="9">
        <v>12</v>
      </c>
      <c r="B40" s="57" t="s">
        <v>60</v>
      </c>
      <c r="C40" s="15" t="s">
        <v>49</v>
      </c>
      <c r="D40" s="15">
        <v>11</v>
      </c>
      <c r="E40" s="15"/>
      <c r="F40" s="16"/>
      <c r="G40" t="s">
        <v>188</v>
      </c>
      <c r="H40" s="13" t="s">
        <v>225</v>
      </c>
      <c r="I40" s="143"/>
    </row>
    <row r="41" spans="1:9" ht="20.25" x14ac:dyDescent="0.25">
      <c r="A41" s="9">
        <v>13</v>
      </c>
      <c r="B41" s="57" t="s">
        <v>61</v>
      </c>
      <c r="C41" s="15" t="s">
        <v>49</v>
      </c>
      <c r="D41" s="15">
        <v>12</v>
      </c>
      <c r="E41" s="15"/>
      <c r="F41" s="16"/>
      <c r="G41" t="s">
        <v>204</v>
      </c>
      <c r="H41" s="13"/>
      <c r="I41" s="143" t="s">
        <v>225</v>
      </c>
    </row>
    <row r="42" spans="1:9" ht="20.25" x14ac:dyDescent="0.25">
      <c r="A42" s="9">
        <v>14</v>
      </c>
      <c r="B42" s="57" t="s">
        <v>62</v>
      </c>
      <c r="C42" s="15" t="s">
        <v>49</v>
      </c>
      <c r="D42" s="15">
        <v>13</v>
      </c>
      <c r="E42" s="15"/>
      <c r="F42" s="16"/>
      <c r="G42" t="s">
        <v>204</v>
      </c>
      <c r="H42" s="13"/>
      <c r="I42" s="143" t="s">
        <v>225</v>
      </c>
    </row>
    <row r="43" spans="1:9" ht="20.25" x14ac:dyDescent="0.25">
      <c r="A43" s="9">
        <v>15</v>
      </c>
      <c r="B43" s="57" t="s">
        <v>63</v>
      </c>
      <c r="C43" s="15" t="s">
        <v>49</v>
      </c>
      <c r="D43" s="15">
        <v>14</v>
      </c>
      <c r="E43" s="15"/>
      <c r="F43" s="16"/>
      <c r="G43" t="s">
        <v>188</v>
      </c>
      <c r="H43" s="13" t="s">
        <v>225</v>
      </c>
      <c r="I43" s="143"/>
    </row>
    <row r="44" spans="1:9" ht="20.25" x14ac:dyDescent="0.25">
      <c r="A44" s="9">
        <v>16</v>
      </c>
      <c r="B44" s="57" t="s">
        <v>64</v>
      </c>
      <c r="C44" s="15" t="s">
        <v>49</v>
      </c>
      <c r="D44" s="15">
        <v>15</v>
      </c>
      <c r="E44" s="15"/>
      <c r="F44" s="16"/>
      <c r="G44" t="s">
        <v>188</v>
      </c>
      <c r="H44" s="13"/>
      <c r="I44" s="143" t="s">
        <v>225</v>
      </c>
    </row>
    <row r="45" spans="1:9" ht="20.25" x14ac:dyDescent="0.25">
      <c r="A45" s="9">
        <v>17</v>
      </c>
      <c r="B45" s="57" t="s">
        <v>65</v>
      </c>
      <c r="C45" s="15" t="s">
        <v>49</v>
      </c>
      <c r="D45" s="15">
        <v>16</v>
      </c>
      <c r="E45" s="15"/>
      <c r="F45" s="16"/>
      <c r="G45" t="s">
        <v>204</v>
      </c>
      <c r="H45" s="13"/>
      <c r="I45" s="143" t="s">
        <v>225</v>
      </c>
    </row>
    <row r="46" spans="1:9" ht="20.25" x14ac:dyDescent="0.25">
      <c r="A46" s="9">
        <v>18</v>
      </c>
      <c r="B46" s="57" t="s">
        <v>66</v>
      </c>
      <c r="C46" s="15" t="s">
        <v>49</v>
      </c>
      <c r="D46" s="15">
        <v>17</v>
      </c>
      <c r="E46" s="15"/>
      <c r="F46" s="16"/>
      <c r="G46" t="s">
        <v>206</v>
      </c>
      <c r="H46" s="13"/>
      <c r="I46" s="143" t="s">
        <v>225</v>
      </c>
    </row>
    <row r="47" spans="1:9" ht="20.25" x14ac:dyDescent="0.25">
      <c r="A47" s="9">
        <v>19</v>
      </c>
      <c r="B47" s="57" t="s">
        <v>67</v>
      </c>
      <c r="C47" s="15" t="s">
        <v>49</v>
      </c>
      <c r="D47" s="15">
        <v>18</v>
      </c>
      <c r="E47" s="15"/>
      <c r="F47" s="16"/>
      <c r="G47" t="s">
        <v>218</v>
      </c>
      <c r="H47" s="13" t="s">
        <v>225</v>
      </c>
      <c r="I47" s="143"/>
    </row>
    <row r="48" spans="1:9" ht="20.25" x14ac:dyDescent="0.25">
      <c r="A48" s="9">
        <v>20</v>
      </c>
      <c r="B48" s="57" t="s">
        <v>68</v>
      </c>
      <c r="C48" s="15" t="s">
        <v>49</v>
      </c>
      <c r="D48" s="15">
        <v>19</v>
      </c>
      <c r="E48" s="15"/>
      <c r="F48" s="16"/>
      <c r="G48" t="s">
        <v>188</v>
      </c>
      <c r="H48" s="13" t="s">
        <v>225</v>
      </c>
      <c r="I48" s="143"/>
    </row>
    <row r="49" spans="1:9" ht="20.25" x14ac:dyDescent="0.25">
      <c r="A49" s="9">
        <v>21</v>
      </c>
      <c r="B49" s="57" t="s">
        <v>69</v>
      </c>
      <c r="C49" s="15" t="s">
        <v>49</v>
      </c>
      <c r="D49" s="15">
        <v>20</v>
      </c>
      <c r="E49" s="15"/>
      <c r="F49" s="16"/>
      <c r="G49" t="s">
        <v>207</v>
      </c>
      <c r="H49" s="13"/>
      <c r="I49" s="143" t="s">
        <v>225</v>
      </c>
    </row>
    <row r="50" spans="1:9" ht="20.25" x14ac:dyDescent="0.25">
      <c r="A50" s="9">
        <v>22</v>
      </c>
      <c r="B50" s="57" t="s">
        <v>70</v>
      </c>
      <c r="C50" s="15" t="s">
        <v>49</v>
      </c>
      <c r="D50" s="15">
        <v>21</v>
      </c>
      <c r="E50" s="15"/>
      <c r="F50" s="16"/>
      <c r="G50" t="s">
        <v>204</v>
      </c>
      <c r="H50" s="13"/>
      <c r="I50" s="143" t="s">
        <v>225</v>
      </c>
    </row>
    <row r="51" spans="1:9" ht="20.25" x14ac:dyDescent="0.25">
      <c r="A51" s="9">
        <v>23</v>
      </c>
      <c r="B51" s="57" t="s">
        <v>71</v>
      </c>
      <c r="C51" s="15" t="s">
        <v>49</v>
      </c>
      <c r="D51" s="15">
        <v>22</v>
      </c>
      <c r="E51" s="15"/>
      <c r="F51" s="16"/>
      <c r="G51" t="s">
        <v>188</v>
      </c>
      <c r="H51" s="13" t="s">
        <v>225</v>
      </c>
      <c r="I51" s="143"/>
    </row>
    <row r="52" spans="1:9" ht="20.25" x14ac:dyDescent="0.25">
      <c r="A52" s="9">
        <v>24</v>
      </c>
      <c r="B52" s="57" t="s">
        <v>72</v>
      </c>
      <c r="C52" s="15" t="s">
        <v>49</v>
      </c>
      <c r="D52" s="15">
        <v>23</v>
      </c>
      <c r="E52" s="15"/>
      <c r="F52" s="16"/>
      <c r="G52" t="s">
        <v>218</v>
      </c>
      <c r="H52" s="13" t="s">
        <v>225</v>
      </c>
      <c r="I52" s="143"/>
    </row>
    <row r="53" spans="1:9" ht="20.25" x14ac:dyDescent="0.25">
      <c r="A53" s="9">
        <v>25</v>
      </c>
      <c r="B53" s="57" t="s">
        <v>73</v>
      </c>
      <c r="C53" s="15" t="s">
        <v>49</v>
      </c>
      <c r="D53" s="15">
        <v>24</v>
      </c>
      <c r="E53" s="15"/>
      <c r="F53" s="16"/>
      <c r="G53" t="s">
        <v>204</v>
      </c>
      <c r="H53" s="13"/>
      <c r="I53" s="143" t="s">
        <v>225</v>
      </c>
    </row>
    <row r="54" spans="1:9" ht="20.25" x14ac:dyDescent="0.25">
      <c r="A54" s="9">
        <v>26</v>
      </c>
      <c r="B54" s="57" t="s">
        <v>74</v>
      </c>
      <c r="C54" s="15" t="s">
        <v>49</v>
      </c>
      <c r="D54" s="15">
        <v>25</v>
      </c>
      <c r="E54" s="15"/>
      <c r="F54" s="16"/>
      <c r="G54" t="s">
        <v>204</v>
      </c>
      <c r="H54" s="13"/>
      <c r="I54" s="143" t="s">
        <v>225</v>
      </c>
    </row>
    <row r="55" spans="1:9" ht="20.25" x14ac:dyDescent="0.25">
      <c r="A55" s="9">
        <v>27</v>
      </c>
      <c r="B55" s="57" t="s">
        <v>75</v>
      </c>
      <c r="C55" s="15" t="s">
        <v>49</v>
      </c>
      <c r="D55" s="15">
        <v>26</v>
      </c>
      <c r="E55" s="15"/>
      <c r="F55" s="16"/>
      <c r="G55" t="s">
        <v>208</v>
      </c>
      <c r="H55" s="13" t="s">
        <v>225</v>
      </c>
      <c r="I55" s="143"/>
    </row>
    <row r="56" spans="1:9" ht="20.25" x14ac:dyDescent="0.25">
      <c r="A56" s="9">
        <v>28</v>
      </c>
      <c r="B56" s="57" t="s">
        <v>76</v>
      </c>
      <c r="C56" s="15" t="s">
        <v>49</v>
      </c>
      <c r="D56" s="15">
        <v>27</v>
      </c>
      <c r="E56" s="15"/>
      <c r="F56" s="16"/>
      <c r="G56" t="s">
        <v>188</v>
      </c>
      <c r="H56" s="13" t="s">
        <v>225</v>
      </c>
      <c r="I56" s="143"/>
    </row>
    <row r="57" spans="1:9" ht="20.25" x14ac:dyDescent="0.25">
      <c r="A57" s="9">
        <v>29</v>
      </c>
      <c r="B57" s="57" t="s">
        <v>77</v>
      </c>
      <c r="C57" s="15" t="s">
        <v>49</v>
      </c>
      <c r="D57" s="15">
        <v>28</v>
      </c>
      <c r="E57" s="15"/>
      <c r="F57" s="16"/>
      <c r="G57" t="s">
        <v>204</v>
      </c>
      <c r="H57" s="13"/>
      <c r="I57" s="143" t="s">
        <v>225</v>
      </c>
    </row>
    <row r="58" spans="1:9" ht="20.25" x14ac:dyDescent="0.25">
      <c r="A58" s="9">
        <v>30</v>
      </c>
      <c r="B58" s="57" t="s">
        <v>78</v>
      </c>
      <c r="C58" s="15" t="s">
        <v>49</v>
      </c>
      <c r="D58" s="15">
        <v>29</v>
      </c>
      <c r="E58" s="15"/>
      <c r="F58" s="16"/>
      <c r="G58" t="s">
        <v>204</v>
      </c>
      <c r="H58" s="13"/>
      <c r="I58" s="143" t="s">
        <v>225</v>
      </c>
    </row>
    <row r="59" spans="1:9" ht="20.25" x14ac:dyDescent="0.25">
      <c r="A59" s="9">
        <v>31</v>
      </c>
      <c r="B59" s="57" t="s">
        <v>79</v>
      </c>
      <c r="C59" s="15" t="s">
        <v>49</v>
      </c>
      <c r="D59" s="15">
        <v>30</v>
      </c>
      <c r="E59" s="15"/>
      <c r="F59" s="16"/>
      <c r="G59" t="s">
        <v>209</v>
      </c>
      <c r="H59" s="13"/>
      <c r="I59" s="143" t="s">
        <v>225</v>
      </c>
    </row>
    <row r="60" spans="1:9" ht="20.25" x14ac:dyDescent="0.25">
      <c r="A60" s="9">
        <v>32</v>
      </c>
      <c r="B60" s="57" t="s">
        <v>80</v>
      </c>
      <c r="C60" s="15" t="s">
        <v>49</v>
      </c>
      <c r="D60" s="15">
        <v>31</v>
      </c>
      <c r="E60" s="15"/>
      <c r="F60" s="16"/>
      <c r="G60" t="s">
        <v>188</v>
      </c>
      <c r="H60" s="13" t="s">
        <v>225</v>
      </c>
      <c r="I60" s="143"/>
    </row>
    <row r="61" spans="1:9" ht="20.25" x14ac:dyDescent="0.25">
      <c r="A61" s="9">
        <v>33</v>
      </c>
      <c r="B61" s="57" t="s">
        <v>81</v>
      </c>
      <c r="C61" s="15" t="s">
        <v>49</v>
      </c>
      <c r="D61" s="15">
        <v>32</v>
      </c>
      <c r="E61" s="15"/>
      <c r="F61" s="16"/>
      <c r="G61" t="s">
        <v>204</v>
      </c>
      <c r="H61" s="13"/>
      <c r="I61" s="144" t="s">
        <v>225</v>
      </c>
    </row>
    <row r="62" spans="1:9" ht="20.25" x14ac:dyDescent="0.25">
      <c r="A62" s="9">
        <v>34</v>
      </c>
      <c r="B62" s="57" t="s">
        <v>82</v>
      </c>
      <c r="C62" s="15" t="s">
        <v>49</v>
      </c>
      <c r="D62" s="15">
        <v>33</v>
      </c>
      <c r="E62" s="15"/>
      <c r="F62" s="15"/>
      <c r="G62" t="s">
        <v>206</v>
      </c>
      <c r="H62" s="13"/>
      <c r="I62" s="143" t="s">
        <v>225</v>
      </c>
    </row>
    <row r="63" spans="1:9" ht="20.25" x14ac:dyDescent="0.25">
      <c r="A63" s="9">
        <v>35</v>
      </c>
      <c r="B63" s="57" t="s">
        <v>84</v>
      </c>
      <c r="C63" s="15" t="s">
        <v>49</v>
      </c>
      <c r="D63" s="15">
        <v>34</v>
      </c>
      <c r="E63" s="15"/>
      <c r="F63" s="15"/>
      <c r="G63" t="s">
        <v>210</v>
      </c>
      <c r="H63" s="13"/>
      <c r="I63" s="143" t="s">
        <v>225</v>
      </c>
    </row>
    <row r="64" spans="1:9" ht="20.25" x14ac:dyDescent="0.25">
      <c r="A64" s="9">
        <v>36</v>
      </c>
      <c r="B64" s="57" t="s">
        <v>85</v>
      </c>
      <c r="C64" s="15" t="s">
        <v>49</v>
      </c>
      <c r="D64" s="15">
        <v>35</v>
      </c>
      <c r="E64" s="15"/>
      <c r="F64" s="15"/>
      <c r="G64" t="s">
        <v>188</v>
      </c>
      <c r="H64" s="13" t="s">
        <v>225</v>
      </c>
      <c r="I64" s="143"/>
    </row>
    <row r="65" spans="1:9" ht="20.25" x14ac:dyDescent="0.25">
      <c r="A65" s="9">
        <v>37</v>
      </c>
      <c r="B65" s="57" t="s">
        <v>86</v>
      </c>
      <c r="C65" s="15" t="s">
        <v>49</v>
      </c>
      <c r="D65" s="15">
        <v>36</v>
      </c>
      <c r="E65" s="15"/>
      <c r="F65" s="15"/>
      <c r="G65" t="s">
        <v>204</v>
      </c>
      <c r="H65" s="13"/>
      <c r="I65" s="143" t="s">
        <v>225</v>
      </c>
    </row>
    <row r="66" spans="1:9" ht="27.75" customHeight="1" x14ac:dyDescent="0.25"/>
  </sheetData>
  <pageMargins left="0.23622047244094491" right="0.23622047244094491" top="0.74803149606299213" bottom="0.74803149606299213" header="0.31496062992125984" footer="0.31496062992125984"/>
  <pageSetup paperSize="9" scale="29" fitToHeight="0"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8"/>
  <sheetViews>
    <sheetView zoomScale="70" zoomScaleNormal="70" workbookViewId="0">
      <selection activeCell="A2" sqref="A2:P2"/>
    </sheetView>
  </sheetViews>
  <sheetFormatPr defaultRowHeight="18.75" x14ac:dyDescent="0.3"/>
  <cols>
    <col min="1" max="1" width="9.140625" style="49"/>
    <col min="2" max="2" width="12" style="49" customWidth="1"/>
    <col min="3" max="3" width="13.7109375" style="49" customWidth="1"/>
    <col min="4" max="4" width="28.140625" style="49" bestFit="1" customWidth="1"/>
    <col min="5" max="5" width="9.140625" style="49"/>
    <col min="6" max="6" width="12.5703125" style="49" customWidth="1"/>
    <col min="7" max="7" width="8.28515625" style="49" customWidth="1"/>
    <col min="8" max="8" width="23.28515625" style="49" customWidth="1"/>
    <col min="9" max="9" width="19.7109375" style="49" bestFit="1" customWidth="1"/>
    <col min="10" max="10" width="15.42578125" style="49" customWidth="1"/>
    <col min="11" max="11" width="14.5703125" style="49" customWidth="1"/>
    <col min="12" max="12" width="24.85546875" style="49" customWidth="1"/>
    <col min="13" max="14" width="14.5703125" style="49" customWidth="1"/>
    <col min="15" max="15" width="6.85546875" style="49" customWidth="1"/>
    <col min="16" max="16" width="22.140625" style="49" bestFit="1" customWidth="1"/>
    <col min="18" max="18" width="11" bestFit="1" customWidth="1"/>
    <col min="20" max="20" width="13.140625" bestFit="1" customWidth="1"/>
    <col min="21" max="21" width="18.5703125" bestFit="1" customWidth="1"/>
    <col min="26" max="26" width="9.7109375" bestFit="1" customWidth="1"/>
  </cols>
  <sheetData>
    <row r="1" spans="1:26" ht="108.75" customHeight="1" thickBot="1" x14ac:dyDescent="0.3">
      <c r="A1" s="106" t="s">
        <v>87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8"/>
      <c r="T1" s="53" t="s">
        <v>88</v>
      </c>
      <c r="U1" s="54" t="s">
        <v>89</v>
      </c>
      <c r="Z1" s="51"/>
    </row>
    <row r="2" spans="1:26" ht="36.75" thickBot="1" x14ac:dyDescent="0.6">
      <c r="A2" s="109" t="str">
        <f>CONCATENATE(UPPER(TEXT(($U$1)-1,"AAAA"))," - ",UPPER(TEXT(($U$1),"AAAA"))," AYLARI KULLANIM VE ÖDEME İCMALİ")</f>
        <v>NİSAN - MAYIS AYLARI KULLANIM VE ÖDEME İCMALİ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1"/>
    </row>
    <row r="3" spans="1:26" ht="72" customHeight="1" thickBot="1" x14ac:dyDescent="0.3">
      <c r="A3" s="112" t="s">
        <v>90</v>
      </c>
      <c r="B3" s="113"/>
      <c r="C3" s="113"/>
      <c r="D3" s="73">
        <f>HLOOKUP($U$1,DOGALGAZ_DATA!$E$1:$P$4,3,0)</f>
        <v>0</v>
      </c>
      <c r="E3" s="114"/>
      <c r="F3" s="114"/>
      <c r="G3" s="115" t="s">
        <v>91</v>
      </c>
      <c r="H3" s="115"/>
      <c r="I3" s="74">
        <f>HLOOKUP($U$1,DOGALGAZ_DATA!$E$1:$P$4,4,0)</f>
        <v>0</v>
      </c>
      <c r="J3" s="75"/>
      <c r="K3" s="116" t="s">
        <v>92</v>
      </c>
      <c r="L3" s="116"/>
      <c r="M3" s="116"/>
      <c r="N3" s="116"/>
      <c r="O3" s="117">
        <v>0.4</v>
      </c>
      <c r="P3" s="118"/>
    </row>
    <row r="4" spans="1:26" ht="39.75" customHeight="1" x14ac:dyDescent="0.25">
      <c r="A4" s="76" t="s">
        <v>93</v>
      </c>
      <c r="B4" s="77" t="s">
        <v>94</v>
      </c>
      <c r="C4" s="78" t="s">
        <v>95</v>
      </c>
      <c r="D4" s="79" t="s">
        <v>96</v>
      </c>
      <c r="E4" s="76" t="s">
        <v>93</v>
      </c>
      <c r="F4" s="77" t="s">
        <v>94</v>
      </c>
      <c r="G4" s="78" t="s">
        <v>97</v>
      </c>
      <c r="H4" s="79" t="s">
        <v>96</v>
      </c>
      <c r="I4" s="76" t="s">
        <v>93</v>
      </c>
      <c r="J4" s="77" t="s">
        <v>94</v>
      </c>
      <c r="K4" s="78" t="s">
        <v>97</v>
      </c>
      <c r="L4" s="79" t="s">
        <v>96</v>
      </c>
      <c r="M4" s="76" t="s">
        <v>93</v>
      </c>
      <c r="N4" s="77" t="s">
        <v>94</v>
      </c>
      <c r="O4" s="78" t="s">
        <v>97</v>
      </c>
      <c r="P4" s="79" t="s">
        <v>96</v>
      </c>
    </row>
    <row r="5" spans="1:26" ht="21" customHeight="1" x14ac:dyDescent="0.3">
      <c r="A5" s="40" t="s">
        <v>98</v>
      </c>
      <c r="B5" s="41" t="s">
        <v>99</v>
      </c>
      <c r="C5" s="42">
        <v>404</v>
      </c>
      <c r="D5" s="71">
        <f>VLOOKUP(CONCATENATE(A5," ",B5),Tablo1[],MONTH($U$1)+4,0)</f>
        <v>0</v>
      </c>
      <c r="E5" s="43" t="s">
        <v>100</v>
      </c>
      <c r="F5" s="44" t="s">
        <v>101</v>
      </c>
      <c r="G5" s="45">
        <v>94</v>
      </c>
      <c r="H5" s="72">
        <f>VLOOKUP(CONCATENATE(E5," ",F5),Tablo1[],MONTH($U$1)+4,0)</f>
        <v>0</v>
      </c>
      <c r="I5" s="46" t="s">
        <v>102</v>
      </c>
      <c r="J5" s="47" t="s">
        <v>103</v>
      </c>
      <c r="K5" s="48">
        <v>90</v>
      </c>
      <c r="L5" s="80">
        <f>VLOOKUP(CONCATENATE(I5," ",J5),Tablo1[],MONTH($U$1)+4,0)</f>
        <v>0</v>
      </c>
      <c r="M5" s="46" t="s">
        <v>102</v>
      </c>
      <c r="N5" s="47" t="s">
        <v>104</v>
      </c>
      <c r="O5" s="48">
        <v>49</v>
      </c>
      <c r="P5" s="80">
        <f>VLOOKUP(CONCATENATE(M5," ",N5),Tablo1[],MONTH($U$1)+4,0)</f>
        <v>0</v>
      </c>
      <c r="R5" s="39"/>
    </row>
    <row r="6" spans="1:26" ht="21" customHeight="1" x14ac:dyDescent="0.3">
      <c r="A6" s="40" t="s">
        <v>98</v>
      </c>
      <c r="B6" s="41" t="s">
        <v>105</v>
      </c>
      <c r="C6" s="42">
        <v>65</v>
      </c>
      <c r="D6" s="71">
        <f>VLOOKUP(CONCATENATE(A6," ",B6),Tablo1[],MONTH($U$1)+4,0)</f>
        <v>0</v>
      </c>
      <c r="E6" s="43" t="s">
        <v>100</v>
      </c>
      <c r="F6" s="44" t="s">
        <v>105</v>
      </c>
      <c r="G6" s="45">
        <v>120</v>
      </c>
      <c r="H6" s="72">
        <f>VLOOKUP(CONCATENATE(E6," ",F6),Tablo1[],MONTH($U$1)+4,0)</f>
        <v>0</v>
      </c>
      <c r="I6" s="46" t="s">
        <v>102</v>
      </c>
      <c r="J6" s="47" t="s">
        <v>106</v>
      </c>
      <c r="K6" s="48">
        <v>45</v>
      </c>
      <c r="L6" s="80">
        <f>VLOOKUP(CONCATENATE(I6," ",J6),Tablo1[],MONTH($U$1)+4,0)</f>
        <v>0</v>
      </c>
      <c r="M6" s="46" t="s">
        <v>102</v>
      </c>
      <c r="N6" s="47" t="s">
        <v>107</v>
      </c>
      <c r="O6" s="48">
        <v>101</v>
      </c>
      <c r="P6" s="80">
        <f>VLOOKUP(CONCATENATE(M6," ",N6),Tablo1[],MONTH($U$1)+4,0)</f>
        <v>0</v>
      </c>
    </row>
    <row r="7" spans="1:26" ht="21" customHeight="1" x14ac:dyDescent="0.3">
      <c r="A7" s="40" t="s">
        <v>98</v>
      </c>
      <c r="B7" s="41" t="s">
        <v>108</v>
      </c>
      <c r="C7" s="42">
        <v>85</v>
      </c>
      <c r="D7" s="71">
        <f>VLOOKUP(CONCATENATE(A7," ",B7),Tablo1[],MONTH($U$1)+4,0)</f>
        <v>0</v>
      </c>
      <c r="E7" s="43" t="s">
        <v>100</v>
      </c>
      <c r="F7" s="44" t="s">
        <v>108</v>
      </c>
      <c r="G7" s="45">
        <v>120</v>
      </c>
      <c r="H7" s="72">
        <f>VLOOKUP(CONCATENATE(E7," ",F7),Tablo1[],MONTH($U$1)+4,0)</f>
        <v>0</v>
      </c>
      <c r="I7" s="46" t="s">
        <v>102</v>
      </c>
      <c r="J7" s="47" t="s">
        <v>109</v>
      </c>
      <c r="K7" s="48">
        <v>45</v>
      </c>
      <c r="L7" s="80">
        <f>VLOOKUP(CONCATENATE(I7," ",J7),Tablo1[],MONTH($U$1)+4,0)</f>
        <v>0</v>
      </c>
      <c r="M7" s="46" t="s">
        <v>102</v>
      </c>
      <c r="N7" s="47" t="s">
        <v>110</v>
      </c>
      <c r="O7" s="48">
        <v>100</v>
      </c>
      <c r="P7" s="80">
        <f>VLOOKUP(CONCATENATE(M7," ",N7),Tablo1[],MONTH($U$1)+4,0)</f>
        <v>0</v>
      </c>
    </row>
    <row r="8" spans="1:26" ht="21" customHeight="1" x14ac:dyDescent="0.3">
      <c r="A8" s="40" t="s">
        <v>98</v>
      </c>
      <c r="B8" s="41" t="s">
        <v>111</v>
      </c>
      <c r="C8" s="42">
        <v>128</v>
      </c>
      <c r="D8" s="71">
        <f>VLOOKUP(CONCATENATE(A8," ",B8),Tablo1[],MONTH($U$1)+4,0)</f>
        <v>0</v>
      </c>
      <c r="E8" s="43" t="s">
        <v>100</v>
      </c>
      <c r="F8" s="44" t="s">
        <v>111</v>
      </c>
      <c r="G8" s="45">
        <v>110</v>
      </c>
      <c r="H8" s="72">
        <f>VLOOKUP(CONCATENATE(E8," ",F8),Tablo1[],MONTH($U$1)+4,0)</f>
        <v>0</v>
      </c>
      <c r="I8" s="46" t="s">
        <v>102</v>
      </c>
      <c r="J8" s="47" t="s">
        <v>112</v>
      </c>
      <c r="K8" s="48">
        <v>90</v>
      </c>
      <c r="L8" s="80">
        <f>VLOOKUP(CONCATENATE(I8," ",J8),Tablo1[],MONTH($U$1)+4,0)</f>
        <v>0</v>
      </c>
      <c r="M8" s="46" t="s">
        <v>102</v>
      </c>
      <c r="N8" s="47" t="s">
        <v>113</v>
      </c>
      <c r="O8" s="48">
        <v>51</v>
      </c>
      <c r="P8" s="80">
        <f>VLOOKUP(CONCATENATE(M8," ",N8),Tablo1[],MONTH($U$1)+4,0)</f>
        <v>0</v>
      </c>
    </row>
    <row r="9" spans="1:26" ht="21" customHeight="1" x14ac:dyDescent="0.3">
      <c r="A9" s="40" t="s">
        <v>98</v>
      </c>
      <c r="B9" s="41" t="s">
        <v>114</v>
      </c>
      <c r="C9" s="42">
        <v>128</v>
      </c>
      <c r="D9" s="71">
        <f>VLOOKUP(CONCATENATE(A9," ",B9),Tablo1[],MONTH($U$1)+4,0)</f>
        <v>0</v>
      </c>
      <c r="E9" s="43" t="s">
        <v>100</v>
      </c>
      <c r="F9" s="44" t="s">
        <v>114</v>
      </c>
      <c r="G9" s="45">
        <v>126</v>
      </c>
      <c r="H9" s="72">
        <f>VLOOKUP(CONCATENATE(E9," ",F9),Tablo1[],MONTH($U$1)+4,0)</f>
        <v>0</v>
      </c>
      <c r="I9" s="46" t="s">
        <v>102</v>
      </c>
      <c r="J9" s="47" t="s">
        <v>114</v>
      </c>
      <c r="K9" s="48">
        <v>80</v>
      </c>
      <c r="L9" s="80">
        <f>VLOOKUP(CONCATENATE(I9," ",J9),Tablo1[],MONTH($U$1)+4,0)</f>
        <v>0</v>
      </c>
      <c r="M9" s="46" t="s">
        <v>102</v>
      </c>
      <c r="N9" s="47" t="s">
        <v>115</v>
      </c>
      <c r="O9" s="48">
        <v>97</v>
      </c>
      <c r="P9" s="80">
        <f>VLOOKUP(CONCATENATE(M9," ",N9),Tablo1[],MONTH($U$1)+4,0)</f>
        <v>0</v>
      </c>
    </row>
    <row r="10" spans="1:26" ht="21" customHeight="1" x14ac:dyDescent="0.3">
      <c r="A10" s="40" t="s">
        <v>98</v>
      </c>
      <c r="B10" s="41" t="s">
        <v>116</v>
      </c>
      <c r="C10" s="42">
        <v>126</v>
      </c>
      <c r="D10" s="71">
        <f>VLOOKUP(CONCATENATE(A10," ",B10),Tablo1[],MONTH($U$1)+4,0)</f>
        <v>0</v>
      </c>
      <c r="E10" s="43" t="s">
        <v>100</v>
      </c>
      <c r="F10" s="44" t="s">
        <v>116</v>
      </c>
      <c r="G10" s="45">
        <v>126</v>
      </c>
      <c r="H10" s="72">
        <f>VLOOKUP(CONCATENATE(E10," ",F10),Tablo1[],MONTH($U$1)+4,0)</f>
        <v>0</v>
      </c>
      <c r="I10" s="46" t="s">
        <v>102</v>
      </c>
      <c r="J10" s="47" t="s">
        <v>116</v>
      </c>
      <c r="K10" s="48">
        <v>49</v>
      </c>
      <c r="L10" s="80">
        <f>VLOOKUP(CONCATENATE(I10," ",J10),Tablo1[],MONTH($U$1)+4,0)</f>
        <v>0</v>
      </c>
      <c r="M10" s="46" t="s">
        <v>102</v>
      </c>
      <c r="N10" s="47" t="s">
        <v>117</v>
      </c>
      <c r="O10" s="48">
        <v>100</v>
      </c>
      <c r="P10" s="80">
        <f>VLOOKUP(CONCATENATE(M10," ",N10),Tablo1[],MONTH($U$1)+4,0)</f>
        <v>0</v>
      </c>
    </row>
    <row r="11" spans="1:26" ht="21" customHeight="1" x14ac:dyDescent="0.3">
      <c r="A11" s="40" t="s">
        <v>98</v>
      </c>
      <c r="B11" s="41" t="s">
        <v>118</v>
      </c>
      <c r="C11" s="42">
        <v>126</v>
      </c>
      <c r="D11" s="71">
        <f>VLOOKUP(CONCATENATE(A11," ",B11),Tablo1[],MONTH($U$1)+4,0)</f>
        <v>0</v>
      </c>
      <c r="E11" s="43" t="s">
        <v>100</v>
      </c>
      <c r="F11" s="44" t="s">
        <v>118</v>
      </c>
      <c r="G11" s="45">
        <v>128</v>
      </c>
      <c r="H11" s="72">
        <f>VLOOKUP(CONCATENATE(E11," ",F11),Tablo1[],MONTH($U$1)+4,0)</f>
        <v>0</v>
      </c>
      <c r="I11" s="46" t="s">
        <v>102</v>
      </c>
      <c r="J11" s="47" t="s">
        <v>118</v>
      </c>
      <c r="K11" s="48">
        <v>97</v>
      </c>
      <c r="L11" s="80">
        <f>VLOOKUP(CONCATENATE(I11," ",J11),Tablo1[],MONTH($U$1)+4,0)</f>
        <v>0</v>
      </c>
      <c r="M11" s="46" t="s">
        <v>102</v>
      </c>
      <c r="N11" s="47" t="s">
        <v>119</v>
      </c>
      <c r="O11" s="48">
        <v>49</v>
      </c>
      <c r="P11" s="80">
        <f>VLOOKUP(CONCATENATE(M11," ",N11),Tablo1[],MONTH($U$1)+4,0)</f>
        <v>0</v>
      </c>
    </row>
    <row r="12" spans="1:26" ht="21" customHeight="1" x14ac:dyDescent="0.3">
      <c r="A12" s="40" t="s">
        <v>98</v>
      </c>
      <c r="B12" s="41" t="s">
        <v>120</v>
      </c>
      <c r="C12" s="42">
        <v>128</v>
      </c>
      <c r="D12" s="71">
        <f>VLOOKUP(CONCATENATE(A12," ",B12),Tablo1[],MONTH($U$1)+4,0)</f>
        <v>0</v>
      </c>
      <c r="E12" s="43" t="s">
        <v>100</v>
      </c>
      <c r="F12" s="44" t="s">
        <v>120</v>
      </c>
      <c r="G12" s="45">
        <v>128</v>
      </c>
      <c r="H12" s="72">
        <f>VLOOKUP(CONCATENATE(E12," ",F12),Tablo1[],MONTH($U$1)+4,0)</f>
        <v>0</v>
      </c>
      <c r="I12" s="46" t="s">
        <v>102</v>
      </c>
      <c r="J12" s="47" t="s">
        <v>120</v>
      </c>
      <c r="K12" s="48">
        <v>51</v>
      </c>
      <c r="L12" s="80">
        <f>VLOOKUP(CONCATENATE(I12," ",J12),Tablo1[],MONTH($U$1)+4,0)</f>
        <v>0</v>
      </c>
      <c r="M12" s="46" t="s">
        <v>102</v>
      </c>
      <c r="N12" s="47" t="s">
        <v>121</v>
      </c>
      <c r="O12" s="48">
        <v>49</v>
      </c>
      <c r="P12" s="80">
        <f>VLOOKUP(CONCATENATE(M12," ",N12),Tablo1[],MONTH($U$1)+4,0)</f>
        <v>0</v>
      </c>
    </row>
    <row r="13" spans="1:26" ht="21" customHeight="1" x14ac:dyDescent="0.3">
      <c r="A13" s="40" t="s">
        <v>98</v>
      </c>
      <c r="B13" s="41" t="s">
        <v>122</v>
      </c>
      <c r="C13" s="42">
        <v>128</v>
      </c>
      <c r="D13" s="71">
        <f>VLOOKUP(CONCATENATE(A13," ",B13),Tablo1[],MONTH($U$1)+4,0)</f>
        <v>0</v>
      </c>
      <c r="E13" s="43" t="s">
        <v>100</v>
      </c>
      <c r="F13" s="44" t="s">
        <v>122</v>
      </c>
      <c r="G13" s="45">
        <v>126</v>
      </c>
      <c r="H13" s="72">
        <f>VLOOKUP(CONCATENATE(E13," ",F13),Tablo1[],MONTH($U$1)+4,0)</f>
        <v>0</v>
      </c>
      <c r="I13" s="46" t="s">
        <v>102</v>
      </c>
      <c r="J13" s="47" t="s">
        <v>122</v>
      </c>
      <c r="K13" s="48">
        <v>97</v>
      </c>
      <c r="L13" s="80">
        <f>VLOOKUP(CONCATENATE(I13," ",J13),Tablo1[],MONTH($U$1)+4,0)</f>
        <v>0</v>
      </c>
      <c r="M13" s="46" t="s">
        <v>102</v>
      </c>
      <c r="N13" s="47" t="s">
        <v>123</v>
      </c>
      <c r="O13" s="48">
        <v>101</v>
      </c>
      <c r="P13" s="80">
        <f>VLOOKUP(CONCATENATE(M13," ",N13),Tablo1[],MONTH($U$1)+4,0)</f>
        <v>0</v>
      </c>
    </row>
    <row r="14" spans="1:26" ht="21" customHeight="1" x14ac:dyDescent="0.3">
      <c r="A14" s="40" t="s">
        <v>98</v>
      </c>
      <c r="B14" s="41" t="s">
        <v>124</v>
      </c>
      <c r="C14" s="42">
        <v>126</v>
      </c>
      <c r="D14" s="71">
        <f>VLOOKUP(CONCATENATE(A14," ",B14),Tablo1[],MONTH($U$1)+4,0)</f>
        <v>0</v>
      </c>
      <c r="E14" s="43" t="s">
        <v>100</v>
      </c>
      <c r="F14" s="44" t="s">
        <v>124</v>
      </c>
      <c r="G14" s="45">
        <v>126</v>
      </c>
      <c r="H14" s="72">
        <f>VLOOKUP(CONCATENATE(E14," ",F14),Tablo1[],MONTH($U$1)+4,0)</f>
        <v>0</v>
      </c>
      <c r="I14" s="46" t="s">
        <v>102</v>
      </c>
      <c r="J14" s="47" t="s">
        <v>124</v>
      </c>
      <c r="K14" s="48">
        <v>100</v>
      </c>
      <c r="L14" s="80">
        <f>VLOOKUP(CONCATENATE(I14," ",J14),Tablo1[],MONTH($U$1)+4,0)</f>
        <v>0</v>
      </c>
      <c r="M14" s="46" t="s">
        <v>102</v>
      </c>
      <c r="N14" s="47" t="s">
        <v>125</v>
      </c>
      <c r="O14" s="48">
        <v>100</v>
      </c>
      <c r="P14" s="80">
        <f>VLOOKUP(CONCATENATE(M14," ",N14),Tablo1[],MONTH($U$1)+4,0)</f>
        <v>0</v>
      </c>
    </row>
    <row r="15" spans="1:26" ht="21" customHeight="1" x14ac:dyDescent="0.3">
      <c r="A15" s="40" t="s">
        <v>98</v>
      </c>
      <c r="B15" s="41" t="s">
        <v>126</v>
      </c>
      <c r="C15" s="42">
        <v>126</v>
      </c>
      <c r="D15" s="71">
        <f>VLOOKUP(CONCATENATE(A15," ",B15),Tablo1[],MONTH($U$1)+4,0)</f>
        <v>0</v>
      </c>
      <c r="E15" s="43" t="s">
        <v>100</v>
      </c>
      <c r="F15" s="44" t="s">
        <v>126</v>
      </c>
      <c r="G15" s="45">
        <v>128</v>
      </c>
      <c r="H15" s="72">
        <f>VLOOKUP(CONCATENATE(E15," ",F15),Tablo1[],MONTH($U$1)+4,0)</f>
        <v>0</v>
      </c>
      <c r="I15" s="46" t="s">
        <v>102</v>
      </c>
      <c r="J15" s="47" t="s">
        <v>126</v>
      </c>
      <c r="K15" s="48">
        <v>49</v>
      </c>
      <c r="L15" s="80">
        <f>VLOOKUP(CONCATENATE(I15," ",J15),Tablo1[],MONTH($U$1)+4,0)</f>
        <v>0</v>
      </c>
      <c r="M15" s="46" t="s">
        <v>102</v>
      </c>
      <c r="N15" s="47" t="s">
        <v>127</v>
      </c>
      <c r="O15" s="48">
        <v>51</v>
      </c>
      <c r="P15" s="80">
        <f>VLOOKUP(CONCATENATE(M15," ",N15),Tablo1[],MONTH($U$1)+4,0)</f>
        <v>0</v>
      </c>
    </row>
    <row r="16" spans="1:26" ht="21" customHeight="1" x14ac:dyDescent="0.3">
      <c r="A16" s="40" t="s">
        <v>98</v>
      </c>
      <c r="B16" s="41" t="s">
        <v>128</v>
      </c>
      <c r="C16" s="42">
        <v>128</v>
      </c>
      <c r="D16" s="71">
        <f>VLOOKUP(CONCATENATE(A16," ",B16),Tablo1[],MONTH($U$1)+4,0)</f>
        <v>0</v>
      </c>
      <c r="E16" s="43" t="s">
        <v>100</v>
      </c>
      <c r="F16" s="44" t="s">
        <v>128</v>
      </c>
      <c r="G16" s="45">
        <v>128</v>
      </c>
      <c r="H16" s="72">
        <f>VLOOKUP(CONCATENATE(E16," ",F16),Tablo1[],MONTH($U$1)+4,0)</f>
        <v>0</v>
      </c>
      <c r="I16" s="46" t="s">
        <v>102</v>
      </c>
      <c r="J16" s="47" t="s">
        <v>128</v>
      </c>
      <c r="K16" s="48">
        <v>49</v>
      </c>
      <c r="L16" s="80">
        <f>VLOOKUP(CONCATENATE(I16," ",J16),Tablo1[],MONTH($U$1)+4,0)</f>
        <v>0</v>
      </c>
      <c r="M16" s="46" t="s">
        <v>102</v>
      </c>
      <c r="N16" s="47" t="s">
        <v>129</v>
      </c>
      <c r="O16" s="48">
        <v>97</v>
      </c>
      <c r="P16" s="80">
        <f>VLOOKUP(CONCATENATE(M16," ",N16),Tablo1[],MONTH($U$1)+4,0)</f>
        <v>0</v>
      </c>
    </row>
    <row r="17" spans="1:16" ht="21" customHeight="1" x14ac:dyDescent="0.3">
      <c r="A17" s="40" t="s">
        <v>98</v>
      </c>
      <c r="B17" s="41" t="s">
        <v>130</v>
      </c>
      <c r="C17" s="42">
        <v>128</v>
      </c>
      <c r="D17" s="71">
        <f>VLOOKUP(CONCATENATE(A17," ",B17),Tablo1[],MONTH($U$1)+4,0)</f>
        <v>0</v>
      </c>
      <c r="E17" s="43" t="s">
        <v>100</v>
      </c>
      <c r="F17" s="44" t="s">
        <v>130</v>
      </c>
      <c r="G17" s="45">
        <v>126</v>
      </c>
      <c r="H17" s="72">
        <f>VLOOKUP(CONCATENATE(E17," ",F17),Tablo1[],MONTH($U$1)+4,0)</f>
        <v>0</v>
      </c>
      <c r="I17" s="46" t="s">
        <v>102</v>
      </c>
      <c r="J17" s="47" t="s">
        <v>130</v>
      </c>
      <c r="K17" s="48">
        <v>101</v>
      </c>
      <c r="L17" s="80">
        <f>VLOOKUP(CONCATENATE(I17," ",J17),Tablo1[],MONTH($U$1)+4,0)</f>
        <v>0</v>
      </c>
      <c r="M17" s="46" t="s">
        <v>102</v>
      </c>
      <c r="N17" s="47" t="s">
        <v>131</v>
      </c>
      <c r="O17" s="48">
        <v>100</v>
      </c>
      <c r="P17" s="80">
        <f>VLOOKUP(CONCATENATE(M17," ",N17),Tablo1[],MONTH($U$1)+4,0)</f>
        <v>0</v>
      </c>
    </row>
    <row r="18" spans="1:16" ht="21" customHeight="1" x14ac:dyDescent="0.3">
      <c r="A18" s="40" t="s">
        <v>98</v>
      </c>
      <c r="B18" s="41" t="s">
        <v>132</v>
      </c>
      <c r="C18" s="42">
        <v>126</v>
      </c>
      <c r="D18" s="71">
        <f>VLOOKUP(CONCATENATE(A18," ",B18),Tablo1[],MONTH($U$1)+4,0)</f>
        <v>0</v>
      </c>
      <c r="E18" s="43" t="s">
        <v>100</v>
      </c>
      <c r="F18" s="44" t="s">
        <v>132</v>
      </c>
      <c r="G18" s="45">
        <v>126</v>
      </c>
      <c r="H18" s="72">
        <f>VLOOKUP(CONCATENATE(E18," ",F18),Tablo1[],MONTH($U$1)+4,0)</f>
        <v>0</v>
      </c>
      <c r="I18" s="46" t="s">
        <v>102</v>
      </c>
      <c r="J18" s="47" t="s">
        <v>132</v>
      </c>
      <c r="K18" s="48">
        <v>100</v>
      </c>
      <c r="L18" s="80">
        <f>VLOOKUP(CONCATENATE(I18," ",J18),Tablo1[],MONTH($U$1)+4,0)</f>
        <v>0</v>
      </c>
      <c r="M18" s="46" t="s">
        <v>102</v>
      </c>
      <c r="N18" s="47" t="s">
        <v>133</v>
      </c>
      <c r="O18" s="48">
        <v>49</v>
      </c>
      <c r="P18" s="80">
        <f>VLOOKUP(CONCATENATE(M18," ",N18),Tablo1[],MONTH($U$1)+4,0)</f>
        <v>0</v>
      </c>
    </row>
    <row r="19" spans="1:16" ht="21" customHeight="1" x14ac:dyDescent="0.3">
      <c r="A19" s="40" t="s">
        <v>98</v>
      </c>
      <c r="B19" s="41" t="s">
        <v>134</v>
      </c>
      <c r="C19" s="42">
        <v>126</v>
      </c>
      <c r="D19" s="71">
        <f>VLOOKUP(CONCATENATE(A19," ",B19),Tablo1[],MONTH($U$1)+4,0)</f>
        <v>0</v>
      </c>
      <c r="E19" s="43" t="s">
        <v>100</v>
      </c>
      <c r="F19" s="44" t="s">
        <v>134</v>
      </c>
      <c r="G19" s="45">
        <v>128</v>
      </c>
      <c r="H19" s="72">
        <f>VLOOKUP(CONCATENATE(E19," ",F19),Tablo1[],MONTH($U$1)+4,0)</f>
        <v>0</v>
      </c>
      <c r="I19" s="46" t="s">
        <v>102</v>
      </c>
      <c r="J19" s="47" t="s">
        <v>134</v>
      </c>
      <c r="K19" s="48">
        <v>51</v>
      </c>
      <c r="L19" s="80">
        <f>VLOOKUP(CONCATENATE(I19," ",J19),Tablo1[],MONTH($U$1)+4,0)</f>
        <v>0</v>
      </c>
      <c r="M19" s="46" t="s">
        <v>102</v>
      </c>
      <c r="N19" s="47" t="s">
        <v>135</v>
      </c>
      <c r="O19" s="48">
        <v>49</v>
      </c>
      <c r="P19" s="80">
        <f>VLOOKUP(CONCATENATE(M19," ",N19),Tablo1[],MONTH($U$1)+4,0)</f>
        <v>0</v>
      </c>
    </row>
    <row r="20" spans="1:16" ht="21" customHeight="1" x14ac:dyDescent="0.3">
      <c r="A20" s="40" t="s">
        <v>98</v>
      </c>
      <c r="B20" s="41" t="s">
        <v>136</v>
      </c>
      <c r="C20" s="42">
        <v>128</v>
      </c>
      <c r="D20" s="71">
        <f>VLOOKUP(CONCATENATE(A20," ",B20),Tablo1[],MONTH($U$1)+4,0)</f>
        <v>0</v>
      </c>
      <c r="E20" s="43" t="s">
        <v>100</v>
      </c>
      <c r="F20" s="44" t="s">
        <v>136</v>
      </c>
      <c r="G20" s="45">
        <v>128</v>
      </c>
      <c r="H20" s="72">
        <f>VLOOKUP(CONCATENATE(E20," ",F20),Tablo1[],MONTH($U$1)+4,0)</f>
        <v>0</v>
      </c>
      <c r="I20" s="46" t="s">
        <v>102</v>
      </c>
      <c r="J20" s="47" t="s">
        <v>136</v>
      </c>
      <c r="K20" s="48">
        <v>97</v>
      </c>
      <c r="L20" s="80">
        <f>VLOOKUP(CONCATENATE(I20," ",J20),Tablo1[],MONTH($U$1)+4,0)</f>
        <v>0</v>
      </c>
      <c r="M20" s="46" t="s">
        <v>102</v>
      </c>
      <c r="N20" s="47" t="s">
        <v>137</v>
      </c>
      <c r="O20" s="48">
        <v>101</v>
      </c>
      <c r="P20" s="80">
        <f>VLOOKUP(CONCATENATE(M20," ",N20),Tablo1[],MONTH($U$1)+4,0)</f>
        <v>0</v>
      </c>
    </row>
    <row r="21" spans="1:16" ht="21" customHeight="1" x14ac:dyDescent="0.3">
      <c r="A21" s="40" t="s">
        <v>98</v>
      </c>
      <c r="B21" s="41" t="s">
        <v>138</v>
      </c>
      <c r="C21" s="42">
        <v>128</v>
      </c>
      <c r="D21" s="71">
        <f>VLOOKUP(CONCATENATE(A21," ",B21),Tablo1[],MONTH($U$1)+4,0)</f>
        <v>0</v>
      </c>
      <c r="E21" s="43" t="s">
        <v>100</v>
      </c>
      <c r="F21" s="44" t="s">
        <v>138</v>
      </c>
      <c r="G21" s="45">
        <v>126</v>
      </c>
      <c r="H21" s="72">
        <f>VLOOKUP(CONCATENATE(E21," ",F21),Tablo1[],MONTH($U$1)+4,0)</f>
        <v>0</v>
      </c>
      <c r="I21" s="46" t="s">
        <v>102</v>
      </c>
      <c r="J21" s="47" t="s">
        <v>138</v>
      </c>
      <c r="K21" s="48">
        <v>100</v>
      </c>
      <c r="L21" s="80">
        <f>VLOOKUP(CONCATENATE(I21," ",J21),Tablo1[],MONTH($U$1)+4,0)</f>
        <v>0</v>
      </c>
      <c r="M21" s="46" t="s">
        <v>102</v>
      </c>
      <c r="N21" s="47" t="s">
        <v>139</v>
      </c>
      <c r="O21" s="48">
        <v>100</v>
      </c>
      <c r="P21" s="80">
        <f>VLOOKUP(CONCATENATE(M21," ",N21),Tablo1[],MONTH($U$1)+4,0)</f>
        <v>0</v>
      </c>
    </row>
    <row r="22" spans="1:16" ht="21" customHeight="1" x14ac:dyDescent="0.3">
      <c r="A22" s="40" t="s">
        <v>98</v>
      </c>
      <c r="B22" s="41" t="s">
        <v>140</v>
      </c>
      <c r="C22" s="42">
        <v>126</v>
      </c>
      <c r="D22" s="71">
        <f>VLOOKUP(CONCATENATE(A22," ",B22),Tablo1[],MONTH($U$1)+4,0)</f>
        <v>0</v>
      </c>
      <c r="E22" s="43" t="s">
        <v>100</v>
      </c>
      <c r="F22" s="44" t="s">
        <v>140</v>
      </c>
      <c r="G22" s="45">
        <v>126</v>
      </c>
      <c r="H22" s="72">
        <f>VLOOKUP(CONCATENATE(E22," ",F22),Tablo1[],MONTH($U$1)+4,0)</f>
        <v>0</v>
      </c>
      <c r="I22" s="46" t="s">
        <v>102</v>
      </c>
      <c r="J22" s="47" t="s">
        <v>140</v>
      </c>
      <c r="K22" s="48">
        <v>49</v>
      </c>
      <c r="L22" s="80">
        <f>VLOOKUP(CONCATENATE(I22," ",J22),Tablo1[],MONTH($U$1)+4,0)</f>
        <v>0</v>
      </c>
      <c r="M22" s="46" t="s">
        <v>102</v>
      </c>
      <c r="N22" s="47" t="s">
        <v>141</v>
      </c>
      <c r="O22" s="48">
        <v>51</v>
      </c>
      <c r="P22" s="80">
        <f>VLOOKUP(CONCATENATE(M22," ",N22),Tablo1[],MONTH($U$1)+4,0)</f>
        <v>0</v>
      </c>
    </row>
    <row r="23" spans="1:16" ht="21" customHeight="1" x14ac:dyDescent="0.3">
      <c r="A23" s="40" t="s">
        <v>98</v>
      </c>
      <c r="B23" s="41" t="s">
        <v>142</v>
      </c>
      <c r="C23" s="42">
        <v>126</v>
      </c>
      <c r="D23" s="71">
        <f>VLOOKUP(CONCATENATE(A23," ",B23),Tablo1[],MONTH($U$1)+4,0)</f>
        <v>0</v>
      </c>
      <c r="E23" s="43" t="s">
        <v>100</v>
      </c>
      <c r="F23" s="44" t="s">
        <v>142</v>
      </c>
      <c r="G23" s="45">
        <v>128</v>
      </c>
      <c r="H23" s="72">
        <f>VLOOKUP(CONCATENATE(E23," ",F23),Tablo1[],MONTH($U$1)+4,0)</f>
        <v>0</v>
      </c>
      <c r="I23" s="46" t="s">
        <v>102</v>
      </c>
      <c r="J23" s="47" t="s">
        <v>142</v>
      </c>
      <c r="K23" s="48">
        <v>49</v>
      </c>
      <c r="L23" s="80">
        <f>VLOOKUP(CONCATENATE(I23," ",J23),Tablo1[],MONTH($U$1)+4,0)</f>
        <v>0</v>
      </c>
      <c r="M23" s="46" t="s">
        <v>102</v>
      </c>
      <c r="N23" s="47" t="s">
        <v>143</v>
      </c>
      <c r="O23" s="48">
        <v>97</v>
      </c>
      <c r="P23" s="80">
        <f>VLOOKUP(CONCATENATE(M23," ",N23),Tablo1[],MONTH($U$1)+4,0)</f>
        <v>0</v>
      </c>
    </row>
    <row r="24" spans="1:16" ht="21" customHeight="1" x14ac:dyDescent="0.3">
      <c r="A24" s="40" t="s">
        <v>98</v>
      </c>
      <c r="B24" s="41" t="s">
        <v>144</v>
      </c>
      <c r="C24" s="42">
        <v>128</v>
      </c>
      <c r="D24" s="71">
        <f>VLOOKUP(CONCATENATE(A24," ",B24),Tablo1[],MONTH($U$1)+4,0)</f>
        <v>0</v>
      </c>
      <c r="E24" s="43" t="s">
        <v>100</v>
      </c>
      <c r="F24" s="44" t="s">
        <v>144</v>
      </c>
      <c r="G24" s="45">
        <v>128</v>
      </c>
      <c r="H24" s="72">
        <f>VLOOKUP(CONCATENATE(E24," ",F24),Tablo1[],MONTH($U$1)+4,0)</f>
        <v>0</v>
      </c>
      <c r="I24" s="46" t="s">
        <v>102</v>
      </c>
      <c r="J24" s="47" t="s">
        <v>144</v>
      </c>
      <c r="K24" s="48">
        <v>101</v>
      </c>
      <c r="L24" s="80">
        <f>VLOOKUP(CONCATENATE(I24," ",J24),Tablo1[],MONTH($U$1)+4,0)</f>
        <v>0</v>
      </c>
      <c r="M24" s="46" t="s">
        <v>102</v>
      </c>
      <c r="N24" s="47" t="s">
        <v>145</v>
      </c>
      <c r="O24" s="48">
        <v>100</v>
      </c>
      <c r="P24" s="80">
        <f>VLOOKUP(CONCATENATE(M24," ",N24),Tablo1[],MONTH($U$1)+4,0)</f>
        <v>0</v>
      </c>
    </row>
    <row r="25" spans="1:16" ht="21" customHeight="1" x14ac:dyDescent="0.3">
      <c r="A25" s="40" t="s">
        <v>98</v>
      </c>
      <c r="B25" s="41" t="s">
        <v>146</v>
      </c>
      <c r="C25" s="42">
        <v>128</v>
      </c>
      <c r="D25" s="71">
        <f>VLOOKUP(CONCATENATE(A25," ",B25),Tablo1[],MONTH($U$1)+4,0)</f>
        <v>0</v>
      </c>
      <c r="E25" s="43" t="s">
        <v>100</v>
      </c>
      <c r="F25" s="44" t="s">
        <v>146</v>
      </c>
      <c r="G25" s="45">
        <v>126</v>
      </c>
      <c r="H25" s="72">
        <f>VLOOKUP(CONCATENATE(E25," ",F25),Tablo1[],MONTH($U$1)+4,0)</f>
        <v>0</v>
      </c>
      <c r="I25" s="46" t="s">
        <v>102</v>
      </c>
      <c r="J25" s="47" t="s">
        <v>146</v>
      </c>
      <c r="K25" s="48">
        <v>100</v>
      </c>
      <c r="L25" s="80">
        <f>VLOOKUP(CONCATENATE(I25," ",J25),Tablo1[],MONTH($U$1)+4,0)</f>
        <v>0</v>
      </c>
      <c r="M25" s="46" t="s">
        <v>102</v>
      </c>
      <c r="N25" s="47" t="s">
        <v>147</v>
      </c>
      <c r="O25" s="48">
        <v>49</v>
      </c>
      <c r="P25" s="80">
        <f>VLOOKUP(CONCATENATE(M25," ",N25),Tablo1[],MONTH($U$1)+4,0)</f>
        <v>0</v>
      </c>
    </row>
    <row r="26" spans="1:16" ht="21" customHeight="1" x14ac:dyDescent="0.3">
      <c r="A26" s="40" t="s">
        <v>98</v>
      </c>
      <c r="B26" s="41" t="s">
        <v>148</v>
      </c>
      <c r="C26" s="42">
        <v>126</v>
      </c>
      <c r="D26" s="71">
        <f>VLOOKUP(CONCATENATE(A26," ",B26),Tablo1[],MONTH($U$1)+4,0)</f>
        <v>0</v>
      </c>
      <c r="E26" s="43" t="s">
        <v>100</v>
      </c>
      <c r="F26" s="44" t="s">
        <v>148</v>
      </c>
      <c r="G26" s="45">
        <v>126</v>
      </c>
      <c r="H26" s="72">
        <f>VLOOKUP(CONCATENATE(E26," ",F26),Tablo1[],MONTH($U$1)+4,0)</f>
        <v>0</v>
      </c>
      <c r="I26" s="46" t="s">
        <v>102</v>
      </c>
      <c r="J26" s="47" t="s">
        <v>148</v>
      </c>
      <c r="K26" s="48">
        <v>51</v>
      </c>
      <c r="L26" s="80">
        <f>VLOOKUP(CONCATENATE(I26," ",J26),Tablo1[],MONTH($U$1)+4,0)</f>
        <v>0</v>
      </c>
      <c r="M26" s="46" t="s">
        <v>102</v>
      </c>
      <c r="N26" s="47" t="s">
        <v>149</v>
      </c>
      <c r="O26" s="48">
        <v>49</v>
      </c>
      <c r="P26" s="80">
        <f>VLOOKUP(CONCATENATE(M26," ",N26),Tablo1[],MONTH($U$1)+4,0)</f>
        <v>0</v>
      </c>
    </row>
    <row r="27" spans="1:16" ht="21" customHeight="1" x14ac:dyDescent="0.3">
      <c r="A27" s="40" t="s">
        <v>98</v>
      </c>
      <c r="B27" s="41" t="s">
        <v>150</v>
      </c>
      <c r="C27" s="42">
        <v>126</v>
      </c>
      <c r="D27" s="71">
        <f>VLOOKUP(CONCATENATE(A27," ",B27),Tablo1[],MONTH($U$1)+4,0)</f>
        <v>0</v>
      </c>
      <c r="E27" s="43" t="s">
        <v>100</v>
      </c>
      <c r="F27" s="44" t="s">
        <v>150</v>
      </c>
      <c r="G27" s="45">
        <v>128</v>
      </c>
      <c r="H27" s="72">
        <f>VLOOKUP(CONCATENATE(E27," ",F27),Tablo1[],MONTH($U$1)+4,0)</f>
        <v>0</v>
      </c>
      <c r="I27" s="46" t="s">
        <v>102</v>
      </c>
      <c r="J27" s="47" t="s">
        <v>150</v>
      </c>
      <c r="K27" s="48">
        <v>97</v>
      </c>
      <c r="L27" s="80">
        <f>VLOOKUP(CONCATENATE(I27," ",J27),Tablo1[],MONTH($U$1)+4,0)</f>
        <v>0</v>
      </c>
      <c r="M27" s="46" t="s">
        <v>102</v>
      </c>
      <c r="N27" s="47" t="s">
        <v>151</v>
      </c>
      <c r="O27" s="48">
        <v>101</v>
      </c>
      <c r="P27" s="80">
        <f>VLOOKUP(CONCATENATE(M27," ",N27),Tablo1[],MONTH($U$1)+4,0)</f>
        <v>0</v>
      </c>
    </row>
    <row r="28" spans="1:16" ht="21" customHeight="1" x14ac:dyDescent="0.3">
      <c r="A28" s="40" t="s">
        <v>98</v>
      </c>
      <c r="B28" s="41" t="s">
        <v>152</v>
      </c>
      <c r="C28" s="42">
        <v>128</v>
      </c>
      <c r="D28" s="71">
        <f>VLOOKUP(CONCATENATE(A28," ",B28),Tablo1[],MONTH($U$1)+4,0)</f>
        <v>0</v>
      </c>
      <c r="E28" s="43" t="s">
        <v>100</v>
      </c>
      <c r="F28" s="44" t="s">
        <v>152</v>
      </c>
      <c r="G28" s="45">
        <v>128</v>
      </c>
      <c r="H28" s="72">
        <f>VLOOKUP(CONCATENATE(E28," ",F28),Tablo1[],MONTH($U$1)+4,0)</f>
        <v>0</v>
      </c>
      <c r="I28" s="46" t="s">
        <v>102</v>
      </c>
      <c r="J28" s="47" t="s">
        <v>152</v>
      </c>
      <c r="K28" s="48">
        <v>100</v>
      </c>
      <c r="L28" s="80">
        <f>VLOOKUP(CONCATENATE(I28," ",J28),Tablo1[],MONTH($U$1)+4,0)</f>
        <v>0</v>
      </c>
      <c r="M28" s="46" t="s">
        <v>102</v>
      </c>
      <c r="N28" s="47" t="s">
        <v>153</v>
      </c>
      <c r="O28" s="48">
        <v>100</v>
      </c>
      <c r="P28" s="80">
        <f>VLOOKUP(CONCATENATE(M28," ",N28),Tablo1[],MONTH($U$1)+4,0)</f>
        <v>0</v>
      </c>
    </row>
    <row r="29" spans="1:16" ht="21" customHeight="1" thickBot="1" x14ac:dyDescent="0.35">
      <c r="A29" s="40" t="s">
        <v>98</v>
      </c>
      <c r="B29" s="41" t="s">
        <v>154</v>
      </c>
      <c r="C29" s="42">
        <v>128</v>
      </c>
      <c r="D29" s="71">
        <f>VLOOKUP(CONCATENATE(A29," ",B29),Tablo1[],MONTH($U$1)+4,0)</f>
        <v>0</v>
      </c>
      <c r="E29" s="43" t="s">
        <v>100</v>
      </c>
      <c r="F29" s="44" t="s">
        <v>154</v>
      </c>
      <c r="G29" s="45">
        <v>126</v>
      </c>
      <c r="H29" s="72">
        <f>VLOOKUP(CONCATENATE(E29," ",F29),Tablo1[],MONTH($U$1)+4,0)</f>
        <v>0</v>
      </c>
      <c r="I29" s="46" t="s">
        <v>102</v>
      </c>
      <c r="J29" s="47" t="s">
        <v>154</v>
      </c>
      <c r="K29" s="48">
        <v>49</v>
      </c>
      <c r="L29" s="80">
        <f>VLOOKUP(CONCATENATE(I29," ",J29),Tablo1[],MONTH($U$1)+4,0)</f>
        <v>0</v>
      </c>
      <c r="M29" s="119"/>
      <c r="N29" s="120"/>
      <c r="O29" s="120"/>
      <c r="P29" s="121"/>
    </row>
    <row r="30" spans="1:16" ht="21" customHeight="1" x14ac:dyDescent="0.3">
      <c r="A30" s="40" t="s">
        <v>98</v>
      </c>
      <c r="B30" s="41" t="s">
        <v>155</v>
      </c>
      <c r="C30" s="42">
        <v>126</v>
      </c>
      <c r="D30" s="71">
        <f>VLOOKUP(CONCATENATE(A30," ",B30),Tablo1[],MONTH($U$1)+4,0)</f>
        <v>0</v>
      </c>
      <c r="E30" s="43" t="s">
        <v>100</v>
      </c>
      <c r="F30" s="44" t="s">
        <v>155</v>
      </c>
      <c r="G30" s="45">
        <v>126</v>
      </c>
      <c r="H30" s="72">
        <f>VLOOKUP(CONCATENATE(E30," ",F30),Tablo1[],MONTH($U$1)+4,0)</f>
        <v>0</v>
      </c>
      <c r="I30" s="46" t="s">
        <v>102</v>
      </c>
      <c r="J30" s="47" t="s">
        <v>155</v>
      </c>
      <c r="K30" s="48">
        <v>49</v>
      </c>
      <c r="L30" s="80">
        <f>VLOOKUP(CONCATENATE(I30," ",J30),Tablo1[],MONTH($U$1)+4,0)</f>
        <v>0</v>
      </c>
      <c r="M30" s="131"/>
      <c r="N30" s="132"/>
      <c r="O30" s="132"/>
      <c r="P30" s="133"/>
    </row>
    <row r="31" spans="1:16" ht="21" customHeight="1" x14ac:dyDescent="0.3">
      <c r="A31" s="40" t="s">
        <v>98</v>
      </c>
      <c r="B31" s="41" t="s">
        <v>156</v>
      </c>
      <c r="C31" s="42">
        <v>126</v>
      </c>
      <c r="D31" s="71">
        <f>VLOOKUP(CONCATENATE(A31," ",B31),Tablo1[],MONTH($U$1)+4,0)</f>
        <v>0</v>
      </c>
      <c r="E31" s="43" t="s">
        <v>100</v>
      </c>
      <c r="F31" s="44" t="s">
        <v>156</v>
      </c>
      <c r="G31" s="45">
        <v>128</v>
      </c>
      <c r="H31" s="72">
        <f>VLOOKUP(CONCATENATE(E31," ",F31),Tablo1[],MONTH($U$1)+4,0)</f>
        <v>0</v>
      </c>
      <c r="I31" s="46" t="s">
        <v>102</v>
      </c>
      <c r="J31" s="47" t="s">
        <v>156</v>
      </c>
      <c r="K31" s="48">
        <v>101</v>
      </c>
      <c r="L31" s="80">
        <f>VLOOKUP(CONCATENATE(I31," ",J31),Tablo1[],MONTH($U$1)+4,0)</f>
        <v>0</v>
      </c>
      <c r="M31" s="122" t="s">
        <v>157</v>
      </c>
      <c r="N31" s="123"/>
      <c r="O31" s="123"/>
      <c r="P31" s="124">
        <f>SUM($C$5:$C$35,$G$5:$G$37,$K$5:$K$36,$O$5:$O$28)</f>
        <v>12500</v>
      </c>
    </row>
    <row r="32" spans="1:16" ht="21" customHeight="1" x14ac:dyDescent="0.3">
      <c r="A32" s="40" t="s">
        <v>98</v>
      </c>
      <c r="B32" s="41" t="s">
        <v>158</v>
      </c>
      <c r="C32" s="42">
        <v>128</v>
      </c>
      <c r="D32" s="71">
        <f>VLOOKUP(CONCATENATE(A32," ",B32),Tablo1[],MONTH($U$1)+4,0)</f>
        <v>0</v>
      </c>
      <c r="E32" s="43" t="s">
        <v>100</v>
      </c>
      <c r="F32" s="44" t="s">
        <v>158</v>
      </c>
      <c r="G32" s="45">
        <v>128</v>
      </c>
      <c r="H32" s="72">
        <f>VLOOKUP(CONCATENATE(E32," ",F32),Tablo1[],MONTH($U$1)+4,0)</f>
        <v>0</v>
      </c>
      <c r="I32" s="46" t="s">
        <v>102</v>
      </c>
      <c r="J32" s="47" t="s">
        <v>158</v>
      </c>
      <c r="K32" s="48">
        <v>100</v>
      </c>
      <c r="L32" s="80">
        <f>VLOOKUP(CONCATENATE(I32," ",J32),Tablo1[],MONTH($U$1)+4,0)</f>
        <v>0</v>
      </c>
      <c r="M32" s="122"/>
      <c r="N32" s="123"/>
      <c r="O32" s="123"/>
      <c r="P32" s="124"/>
    </row>
    <row r="33" spans="1:16" ht="21" customHeight="1" x14ac:dyDescent="0.3">
      <c r="A33" s="40" t="s">
        <v>98</v>
      </c>
      <c r="B33" s="41" t="s">
        <v>159</v>
      </c>
      <c r="C33" s="42">
        <v>128</v>
      </c>
      <c r="D33" s="71">
        <f>VLOOKUP(CONCATENATE(A33," ",B33),Tablo1[],MONTH($U$1)+4,0)</f>
        <v>0</v>
      </c>
      <c r="E33" s="43" t="s">
        <v>100</v>
      </c>
      <c r="F33" s="44" t="s">
        <v>159</v>
      </c>
      <c r="G33" s="45">
        <v>126</v>
      </c>
      <c r="H33" s="72">
        <f>VLOOKUP(CONCATENATE(E33," ",F33),Tablo1[],MONTH($U$1)+4,0)</f>
        <v>0</v>
      </c>
      <c r="I33" s="46" t="s">
        <v>102</v>
      </c>
      <c r="J33" s="47" t="s">
        <v>159</v>
      </c>
      <c r="K33" s="48">
        <v>51</v>
      </c>
      <c r="L33" s="80">
        <f>VLOOKUP(CONCATENATE(I33," ",J33),Tablo1[],MONTH($U$1)+4,0)</f>
        <v>0</v>
      </c>
      <c r="M33" s="134"/>
      <c r="N33" s="135"/>
      <c r="O33" s="135"/>
      <c r="P33" s="136"/>
    </row>
    <row r="34" spans="1:16" ht="21" customHeight="1" x14ac:dyDescent="0.3">
      <c r="A34" s="40" t="s">
        <v>98</v>
      </c>
      <c r="B34" s="41" t="s">
        <v>160</v>
      </c>
      <c r="C34" s="42">
        <v>126</v>
      </c>
      <c r="D34" s="71">
        <f>VLOOKUP(CONCATENATE(A34," ",B34),Tablo1[],MONTH($U$1)+4,0)</f>
        <v>0</v>
      </c>
      <c r="E34" s="43" t="s">
        <v>100</v>
      </c>
      <c r="F34" s="44" t="s">
        <v>160</v>
      </c>
      <c r="G34" s="45">
        <v>126</v>
      </c>
      <c r="H34" s="72">
        <f>VLOOKUP(CONCATENATE(E34," ",F34),Tablo1[],MONTH($U$1)+4,0)</f>
        <v>0</v>
      </c>
      <c r="I34" s="46" t="s">
        <v>102</v>
      </c>
      <c r="J34" s="47" t="s">
        <v>160</v>
      </c>
      <c r="K34" s="48">
        <v>97</v>
      </c>
      <c r="L34" s="80">
        <f>VLOOKUP(CONCATENATE(I34," ",J34),Tablo1[],MONTH($U$1)+4,0)</f>
        <v>0</v>
      </c>
      <c r="M34" s="125" t="s">
        <v>161</v>
      </c>
      <c r="N34" s="126"/>
      <c r="O34" s="126"/>
      <c r="P34" s="127"/>
    </row>
    <row r="35" spans="1:16" ht="21" customHeight="1" x14ac:dyDescent="0.3">
      <c r="A35" s="40" t="s">
        <v>98</v>
      </c>
      <c r="B35" s="41" t="s">
        <v>162</v>
      </c>
      <c r="C35" s="42">
        <v>126</v>
      </c>
      <c r="D35" s="71">
        <f>VLOOKUP(CONCATENATE(A35," ",B35),Tablo1[],MONTH($U$1)+4,0)</f>
        <v>0</v>
      </c>
      <c r="E35" s="43" t="s">
        <v>100</v>
      </c>
      <c r="F35" s="44" t="s">
        <v>162</v>
      </c>
      <c r="G35" s="45">
        <v>128</v>
      </c>
      <c r="H35" s="72">
        <f>VLOOKUP(CONCATENATE(E35," ",F35),Tablo1[],MONTH($U$1)+4,0)</f>
        <v>0</v>
      </c>
      <c r="I35" s="46" t="s">
        <v>102</v>
      </c>
      <c r="J35" s="47" t="s">
        <v>162</v>
      </c>
      <c r="K35" s="48">
        <v>100</v>
      </c>
      <c r="L35" s="80">
        <f>VLOOKUP(CONCATENATE(I35," ",J35),Tablo1[],MONTH($U$1)+4,0)</f>
        <v>0</v>
      </c>
      <c r="M35" s="128">
        <f>HLOOKUP($U$1,DOGALGAZ_DATA!$E$1:$P$4,2,0)-1</f>
        <v>45431</v>
      </c>
      <c r="N35" s="129">
        <f>HLOOKUP($U$1,DOGALGAZ_DATA!$E$1:$P$4,4,0)</f>
        <v>0</v>
      </c>
      <c r="O35" s="129">
        <f>HLOOKUP($U$1,DOGALGAZ_DATA!$E$1:$P$4,4,0)</f>
        <v>0</v>
      </c>
      <c r="P35" s="130">
        <f>HLOOKUP($U$1,DOGALGAZ_DATA!$E$1:$P$4,4,0)</f>
        <v>0</v>
      </c>
    </row>
    <row r="36" spans="1:16" ht="21" customHeight="1" x14ac:dyDescent="0.3">
      <c r="A36" s="100" t="s">
        <v>163</v>
      </c>
      <c r="B36" s="101"/>
      <c r="C36" s="101"/>
      <c r="D36" s="102"/>
      <c r="E36" s="43" t="s">
        <v>100</v>
      </c>
      <c r="F36" s="44" t="s">
        <v>164</v>
      </c>
      <c r="G36" s="45">
        <v>128</v>
      </c>
      <c r="H36" s="72">
        <f>VLOOKUP(CONCATENATE(E36," ",F36),Tablo1[],MONTH($U$1)+4,0)</f>
        <v>0</v>
      </c>
      <c r="I36" s="46" t="s">
        <v>102</v>
      </c>
      <c r="J36" s="47" t="s">
        <v>164</v>
      </c>
      <c r="K36" s="48">
        <v>49</v>
      </c>
      <c r="L36" s="80">
        <f>VLOOKUP(CONCATENATE(I36," ",J36),Tablo1[],MONTH($U$1)+4,0)</f>
        <v>0</v>
      </c>
      <c r="M36" s="94" t="s">
        <v>165</v>
      </c>
      <c r="N36" s="95"/>
      <c r="O36" s="95"/>
      <c r="P36" s="96"/>
    </row>
    <row r="37" spans="1:16" ht="21" customHeight="1" x14ac:dyDescent="0.3">
      <c r="A37" s="100"/>
      <c r="B37" s="101"/>
      <c r="C37" s="101"/>
      <c r="D37" s="102"/>
      <c r="E37" s="43" t="s">
        <v>100</v>
      </c>
      <c r="F37" s="44" t="s">
        <v>166</v>
      </c>
      <c r="G37" s="45">
        <v>65</v>
      </c>
      <c r="H37" s="72">
        <f>VLOOKUP(CONCATENATE(E37," ",F37),Tablo1[],MONTH($U$1)+4,0)</f>
        <v>0</v>
      </c>
      <c r="I37" s="100" t="s">
        <v>167</v>
      </c>
      <c r="J37" s="101"/>
      <c r="K37" s="101"/>
      <c r="L37" s="102"/>
      <c r="M37" s="94"/>
      <c r="N37" s="95"/>
      <c r="O37" s="95"/>
      <c r="P37" s="96"/>
    </row>
    <row r="38" spans="1:16" ht="15.75" customHeight="1" thickBot="1" x14ac:dyDescent="0.35">
      <c r="A38" s="103"/>
      <c r="B38" s="104"/>
      <c r="C38" s="104"/>
      <c r="D38" s="105"/>
      <c r="E38" s="103" t="s">
        <v>168</v>
      </c>
      <c r="F38" s="104"/>
      <c r="G38" s="104"/>
      <c r="H38" s="105"/>
      <c r="I38" s="103"/>
      <c r="J38" s="104"/>
      <c r="K38" s="104"/>
      <c r="L38" s="105"/>
      <c r="M38" s="97"/>
      <c r="N38" s="98"/>
      <c r="O38" s="98"/>
      <c r="P38" s="99"/>
    </row>
  </sheetData>
  <mergeCells count="18">
    <mergeCell ref="M30:P30"/>
    <mergeCell ref="M33:P33"/>
    <mergeCell ref="M36:P38"/>
    <mergeCell ref="A36:D38"/>
    <mergeCell ref="E38:H38"/>
    <mergeCell ref="I37:L38"/>
    <mergeCell ref="A1:P1"/>
    <mergeCell ref="A2:P2"/>
    <mergeCell ref="A3:C3"/>
    <mergeCell ref="E3:F3"/>
    <mergeCell ref="G3:H3"/>
    <mergeCell ref="K3:N3"/>
    <mergeCell ref="O3:P3"/>
    <mergeCell ref="M29:P29"/>
    <mergeCell ref="M31:O32"/>
    <mergeCell ref="P31:P32"/>
    <mergeCell ref="M34:P34"/>
    <mergeCell ref="M35:P35"/>
  </mergeCells>
  <pageMargins left="0.7" right="0.7" top="0.75" bottom="0.75" header="0.3" footer="0.3"/>
  <pageSetup paperSize="9" scale="52" orientation="landscape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DOGALGAZ_DATA!$E$5:$P$5</xm:f>
          </x14:formula1>
          <xm:sqref>U1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6"/>
  <sheetViews>
    <sheetView workbookViewId="0">
      <selection activeCell="P6" sqref="P6"/>
    </sheetView>
  </sheetViews>
  <sheetFormatPr defaultColWidth="9" defaultRowHeight="15" x14ac:dyDescent="0.25"/>
  <cols>
    <col min="1" max="1" width="18.140625" bestFit="1" customWidth="1"/>
    <col min="2" max="2" width="12" bestFit="1" customWidth="1"/>
    <col min="3" max="3" width="11" bestFit="1" customWidth="1"/>
    <col min="4" max="4" width="6.85546875" bestFit="1" customWidth="1"/>
    <col min="5" max="5" width="16.85546875" bestFit="1" customWidth="1"/>
    <col min="6" max="6" width="18.7109375" bestFit="1" customWidth="1"/>
    <col min="7" max="9" width="16.85546875" bestFit="1" customWidth="1"/>
    <col min="10" max="16" width="11.42578125" bestFit="1" customWidth="1"/>
  </cols>
  <sheetData>
    <row r="1" spans="1:16" x14ac:dyDescent="0.25">
      <c r="B1" s="141" t="s">
        <v>88</v>
      </c>
      <c r="C1" s="141"/>
      <c r="D1" s="141"/>
      <c r="E1" s="66" t="str">
        <f>Tablo1[[#Headers],[1.01.2024]]</f>
        <v>1.01.2024</v>
      </c>
      <c r="F1" s="66" t="str">
        <f>Tablo1[[#Headers],[1.02.2024]]</f>
        <v>1.02.2024</v>
      </c>
      <c r="G1" s="66" t="str">
        <f>Tablo1[[#Headers],[1.03.2024]]</f>
        <v>1.03.2024</v>
      </c>
      <c r="H1" s="66" t="str">
        <f>Tablo1[[#Headers],[1.04.2024]]</f>
        <v>1.04.2024</v>
      </c>
      <c r="I1" s="66" t="str">
        <f>Tablo1[[#Headers],[1.05.2024]]</f>
        <v>1.05.2024</v>
      </c>
      <c r="J1" s="66" t="str">
        <f>Tablo1[[#Headers],[1.06.2024]]</f>
        <v>1.06.2024</v>
      </c>
      <c r="K1" s="66" t="str">
        <f>Tablo1[[#Headers],[1.07.2024]]</f>
        <v>1.07.2024</v>
      </c>
      <c r="L1" s="66" t="str">
        <f>Tablo1[[#Headers],[1.08.2024]]</f>
        <v>1.08.2024</v>
      </c>
      <c r="M1" s="66" t="str">
        <f>Tablo1[[#Headers],[1.09.2024]]</f>
        <v>1.09.2024</v>
      </c>
      <c r="N1" s="66" t="str">
        <f>Tablo1[[#Headers],[1.10.2024]]</f>
        <v>1.10.2024</v>
      </c>
      <c r="O1" s="66" t="str">
        <f>Tablo1[[#Headers],[1.11.2024]]</f>
        <v>1.11.2024</v>
      </c>
      <c r="P1" s="66" t="str">
        <f>Tablo1[[#Headers],[1.12.2024]]</f>
        <v>1.12.2024</v>
      </c>
    </row>
    <row r="2" spans="1:16" ht="18.75" x14ac:dyDescent="0.3">
      <c r="B2" s="140" t="s">
        <v>169</v>
      </c>
      <c r="C2" s="140"/>
      <c r="D2" s="140"/>
      <c r="E2" s="65">
        <v>45309</v>
      </c>
      <c r="F2" s="65">
        <v>45340</v>
      </c>
      <c r="G2" s="65">
        <v>45369</v>
      </c>
      <c r="H2" s="65">
        <v>45397</v>
      </c>
      <c r="I2" s="65">
        <v>45432</v>
      </c>
      <c r="J2" s="65"/>
      <c r="K2" s="65"/>
      <c r="L2" s="65"/>
      <c r="M2" s="65"/>
      <c r="N2" s="65"/>
      <c r="O2" s="65"/>
      <c r="P2" s="65"/>
    </row>
    <row r="3" spans="1:16" ht="23.25" x14ac:dyDescent="0.35">
      <c r="B3" s="137" t="s">
        <v>170</v>
      </c>
      <c r="C3" s="138"/>
      <c r="D3" s="139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</row>
    <row r="4" spans="1:16" x14ac:dyDescent="0.25">
      <c r="B4" t="s">
        <v>171</v>
      </c>
      <c r="E4" s="52">
        <f>E3/12500</f>
        <v>0</v>
      </c>
      <c r="F4" s="52">
        <f t="shared" ref="F4:P4" si="0">F3/12500</f>
        <v>0</v>
      </c>
      <c r="G4" s="52">
        <f t="shared" si="0"/>
        <v>0</v>
      </c>
      <c r="H4" s="52">
        <f t="shared" si="0"/>
        <v>0</v>
      </c>
      <c r="I4" s="52">
        <f t="shared" si="0"/>
        <v>0</v>
      </c>
      <c r="J4" s="52">
        <f t="shared" si="0"/>
        <v>0</v>
      </c>
      <c r="K4" s="52">
        <f t="shared" si="0"/>
        <v>0</v>
      </c>
      <c r="L4" s="52">
        <f t="shared" si="0"/>
        <v>0</v>
      </c>
      <c r="M4" s="52">
        <f t="shared" si="0"/>
        <v>0</v>
      </c>
      <c r="N4" s="52">
        <f t="shared" si="0"/>
        <v>0</v>
      </c>
      <c r="O4" s="52">
        <f t="shared" si="0"/>
        <v>0</v>
      </c>
      <c r="P4" s="52">
        <f t="shared" si="0"/>
        <v>0</v>
      </c>
    </row>
    <row r="5" spans="1:16" x14ac:dyDescent="0.25">
      <c r="A5" t="s">
        <v>172</v>
      </c>
      <c r="B5" t="s">
        <v>93</v>
      </c>
      <c r="C5" t="s">
        <v>94</v>
      </c>
      <c r="D5" t="s">
        <v>97</v>
      </c>
      <c r="E5" s="51" t="s">
        <v>173</v>
      </c>
      <c r="F5" s="51" t="s">
        <v>174</v>
      </c>
      <c r="G5" s="51" t="s">
        <v>175</v>
      </c>
      <c r="H5" s="51" t="s">
        <v>176</v>
      </c>
      <c r="I5" s="51" t="s">
        <v>89</v>
      </c>
      <c r="J5" s="51" t="s">
        <v>177</v>
      </c>
      <c r="K5" s="51" t="s">
        <v>178</v>
      </c>
      <c r="L5" s="51" t="s">
        <v>179</v>
      </c>
      <c r="M5" s="51" t="s">
        <v>180</v>
      </c>
      <c r="N5" s="51" t="s">
        <v>181</v>
      </c>
      <c r="O5" s="51" t="s">
        <v>182</v>
      </c>
      <c r="P5" s="51" t="s">
        <v>183</v>
      </c>
    </row>
    <row r="6" spans="1:16" x14ac:dyDescent="0.25">
      <c r="A6" t="str">
        <f>CONCATENATE(Tablo1[[#This Row],[BLOK]]," ",Tablo1[[#This Row],[DAİRE]])</f>
        <v>A-BLOK KREŞ</v>
      </c>
      <c r="B6" t="s">
        <v>98</v>
      </c>
      <c r="C6" t="s">
        <v>99</v>
      </c>
      <c r="D6">
        <v>404</v>
      </c>
      <c r="E6" s="52">
        <f t="shared" ref="E6:P6" si="1">ROUNDUP(E$4*$D6,1)</f>
        <v>0</v>
      </c>
      <c r="F6" s="52">
        <f t="shared" si="1"/>
        <v>0</v>
      </c>
      <c r="G6" s="52">
        <f t="shared" si="1"/>
        <v>0</v>
      </c>
      <c r="H6" s="52">
        <f t="shared" si="1"/>
        <v>0</v>
      </c>
      <c r="I6" s="52">
        <f t="shared" si="1"/>
        <v>0</v>
      </c>
      <c r="J6" s="52">
        <f t="shared" si="1"/>
        <v>0</v>
      </c>
      <c r="K6" s="52">
        <f t="shared" si="1"/>
        <v>0</v>
      </c>
      <c r="L6" s="52">
        <f t="shared" si="1"/>
        <v>0</v>
      </c>
      <c r="M6" s="52">
        <f t="shared" si="1"/>
        <v>0</v>
      </c>
      <c r="N6" s="52">
        <f t="shared" si="1"/>
        <v>0</v>
      </c>
      <c r="O6" s="52">
        <f t="shared" si="1"/>
        <v>0</v>
      </c>
      <c r="P6" s="52">
        <f t="shared" si="1"/>
        <v>0</v>
      </c>
    </row>
    <row r="7" spans="1:16" x14ac:dyDescent="0.25">
      <c r="A7" t="str">
        <f>CONCATENATE(Tablo1[[#This Row],[BLOK]]," ",Tablo1[[#This Row],[DAİRE]])</f>
        <v>A-BLOK DAİRE 02</v>
      </c>
      <c r="B7" t="s">
        <v>98</v>
      </c>
      <c r="C7" t="s">
        <v>105</v>
      </c>
      <c r="D7">
        <v>65</v>
      </c>
      <c r="E7" s="52">
        <f t="shared" ref="E7:P28" si="2">ROUNDUP(E$4*$D7,1)</f>
        <v>0</v>
      </c>
      <c r="F7" s="52">
        <f t="shared" si="2"/>
        <v>0</v>
      </c>
      <c r="G7" s="52">
        <f t="shared" si="2"/>
        <v>0</v>
      </c>
      <c r="H7" s="52">
        <f t="shared" si="2"/>
        <v>0</v>
      </c>
      <c r="I7" s="52">
        <f t="shared" si="2"/>
        <v>0</v>
      </c>
      <c r="J7" s="52">
        <f t="shared" si="2"/>
        <v>0</v>
      </c>
      <c r="K7" s="52">
        <f t="shared" si="2"/>
        <v>0</v>
      </c>
      <c r="L7" s="52">
        <f t="shared" si="2"/>
        <v>0</v>
      </c>
      <c r="M7" s="52">
        <f t="shared" si="2"/>
        <v>0</v>
      </c>
      <c r="N7" s="52">
        <f t="shared" si="2"/>
        <v>0</v>
      </c>
      <c r="O7" s="52">
        <f t="shared" si="2"/>
        <v>0</v>
      </c>
      <c r="P7" s="52">
        <f t="shared" si="2"/>
        <v>0</v>
      </c>
    </row>
    <row r="8" spans="1:16" x14ac:dyDescent="0.25">
      <c r="A8" t="str">
        <f>CONCATENATE(Tablo1[[#This Row],[BLOK]]," ",Tablo1[[#This Row],[DAİRE]])</f>
        <v>A-BLOK DAİRE 03</v>
      </c>
      <c r="B8" t="s">
        <v>98</v>
      </c>
      <c r="C8" t="s">
        <v>108</v>
      </c>
      <c r="D8">
        <v>85</v>
      </c>
      <c r="E8" s="52">
        <f t="shared" si="2"/>
        <v>0</v>
      </c>
      <c r="F8" s="52">
        <f t="shared" si="2"/>
        <v>0</v>
      </c>
      <c r="G8" s="52">
        <f t="shared" si="2"/>
        <v>0</v>
      </c>
      <c r="H8" s="52">
        <f t="shared" si="2"/>
        <v>0</v>
      </c>
      <c r="I8" s="52">
        <f t="shared" si="2"/>
        <v>0</v>
      </c>
      <c r="J8" s="52">
        <f t="shared" si="2"/>
        <v>0</v>
      </c>
      <c r="K8" s="52">
        <f t="shared" si="2"/>
        <v>0</v>
      </c>
      <c r="L8" s="52">
        <f t="shared" si="2"/>
        <v>0</v>
      </c>
      <c r="M8" s="52">
        <f t="shared" si="2"/>
        <v>0</v>
      </c>
      <c r="N8" s="52">
        <f t="shared" si="2"/>
        <v>0</v>
      </c>
      <c r="O8" s="52">
        <f t="shared" si="2"/>
        <v>0</v>
      </c>
      <c r="P8" s="52">
        <f t="shared" si="2"/>
        <v>0</v>
      </c>
    </row>
    <row r="9" spans="1:16" x14ac:dyDescent="0.25">
      <c r="A9" t="str">
        <f>CONCATENATE(Tablo1[[#This Row],[BLOK]]," ",Tablo1[[#This Row],[DAİRE]])</f>
        <v>A-BLOK DAİRE 04</v>
      </c>
      <c r="B9" t="s">
        <v>98</v>
      </c>
      <c r="C9" t="s">
        <v>111</v>
      </c>
      <c r="D9">
        <v>128</v>
      </c>
      <c r="E9" s="52">
        <f t="shared" si="2"/>
        <v>0</v>
      </c>
      <c r="F9" s="52">
        <f t="shared" si="2"/>
        <v>0</v>
      </c>
      <c r="G9" s="52">
        <f t="shared" si="2"/>
        <v>0</v>
      </c>
      <c r="H9" s="52">
        <f t="shared" si="2"/>
        <v>0</v>
      </c>
      <c r="I9" s="52">
        <f t="shared" si="2"/>
        <v>0</v>
      </c>
      <c r="J9" s="52">
        <f t="shared" si="2"/>
        <v>0</v>
      </c>
      <c r="K9" s="52">
        <f t="shared" si="2"/>
        <v>0</v>
      </c>
      <c r="L9" s="52">
        <f t="shared" si="2"/>
        <v>0</v>
      </c>
      <c r="M9" s="52">
        <f t="shared" si="2"/>
        <v>0</v>
      </c>
      <c r="N9" s="52">
        <f t="shared" si="2"/>
        <v>0</v>
      </c>
      <c r="O9" s="52">
        <f t="shared" si="2"/>
        <v>0</v>
      </c>
      <c r="P9" s="52">
        <f t="shared" si="2"/>
        <v>0</v>
      </c>
    </row>
    <row r="10" spans="1:16" x14ac:dyDescent="0.25">
      <c r="A10" t="str">
        <f>CONCATENATE(Tablo1[[#This Row],[BLOK]]," ",Tablo1[[#This Row],[DAİRE]])</f>
        <v>A-BLOK DAİRE 05</v>
      </c>
      <c r="B10" t="s">
        <v>98</v>
      </c>
      <c r="C10" t="s">
        <v>114</v>
      </c>
      <c r="D10">
        <v>128</v>
      </c>
      <c r="E10" s="52">
        <f t="shared" si="2"/>
        <v>0</v>
      </c>
      <c r="F10" s="52">
        <f t="shared" si="2"/>
        <v>0</v>
      </c>
      <c r="G10" s="52">
        <f t="shared" si="2"/>
        <v>0</v>
      </c>
      <c r="H10" s="52">
        <f t="shared" si="2"/>
        <v>0</v>
      </c>
      <c r="I10" s="52">
        <f t="shared" si="2"/>
        <v>0</v>
      </c>
      <c r="J10" s="52">
        <f t="shared" si="2"/>
        <v>0</v>
      </c>
      <c r="K10" s="52">
        <f t="shared" si="2"/>
        <v>0</v>
      </c>
      <c r="L10" s="52">
        <f t="shared" si="2"/>
        <v>0</v>
      </c>
      <c r="M10" s="52">
        <f t="shared" si="2"/>
        <v>0</v>
      </c>
      <c r="N10" s="52">
        <f t="shared" si="2"/>
        <v>0</v>
      </c>
      <c r="O10" s="52">
        <f t="shared" si="2"/>
        <v>0</v>
      </c>
      <c r="P10" s="52">
        <f t="shared" si="2"/>
        <v>0</v>
      </c>
    </row>
    <row r="11" spans="1:16" x14ac:dyDescent="0.25">
      <c r="A11" t="str">
        <f>CONCATENATE(Tablo1[[#This Row],[BLOK]]," ",Tablo1[[#This Row],[DAİRE]])</f>
        <v>A-BLOK DAİRE 06</v>
      </c>
      <c r="B11" t="s">
        <v>98</v>
      </c>
      <c r="C11" t="s">
        <v>116</v>
      </c>
      <c r="D11">
        <v>126</v>
      </c>
      <c r="E11" s="52">
        <f t="shared" si="2"/>
        <v>0</v>
      </c>
      <c r="F11" s="52">
        <f t="shared" si="2"/>
        <v>0</v>
      </c>
      <c r="G11" s="52">
        <f t="shared" si="2"/>
        <v>0</v>
      </c>
      <c r="H11" s="52">
        <f t="shared" si="2"/>
        <v>0</v>
      </c>
      <c r="I11" s="52">
        <f t="shared" si="2"/>
        <v>0</v>
      </c>
      <c r="J11" s="52">
        <f t="shared" si="2"/>
        <v>0</v>
      </c>
      <c r="K11" s="52">
        <f t="shared" si="2"/>
        <v>0</v>
      </c>
      <c r="L11" s="52">
        <f t="shared" si="2"/>
        <v>0</v>
      </c>
      <c r="M11" s="52">
        <f t="shared" si="2"/>
        <v>0</v>
      </c>
      <c r="N11" s="52">
        <f t="shared" si="2"/>
        <v>0</v>
      </c>
      <c r="O11" s="52">
        <f t="shared" si="2"/>
        <v>0</v>
      </c>
      <c r="P11" s="52">
        <f t="shared" si="2"/>
        <v>0</v>
      </c>
    </row>
    <row r="12" spans="1:16" x14ac:dyDescent="0.25">
      <c r="A12" t="str">
        <f>CONCATENATE(Tablo1[[#This Row],[BLOK]]," ",Tablo1[[#This Row],[DAİRE]])</f>
        <v>A-BLOK DAİRE 07</v>
      </c>
      <c r="B12" t="s">
        <v>98</v>
      </c>
      <c r="C12" t="s">
        <v>118</v>
      </c>
      <c r="D12">
        <v>126</v>
      </c>
      <c r="E12" s="52">
        <f t="shared" si="2"/>
        <v>0</v>
      </c>
      <c r="F12" s="52">
        <f t="shared" si="2"/>
        <v>0</v>
      </c>
      <c r="G12" s="52">
        <f t="shared" si="2"/>
        <v>0</v>
      </c>
      <c r="H12" s="52">
        <f t="shared" si="2"/>
        <v>0</v>
      </c>
      <c r="I12" s="52">
        <f t="shared" si="2"/>
        <v>0</v>
      </c>
      <c r="J12" s="52">
        <f t="shared" si="2"/>
        <v>0</v>
      </c>
      <c r="K12" s="52">
        <f t="shared" si="2"/>
        <v>0</v>
      </c>
      <c r="L12" s="52">
        <f t="shared" si="2"/>
        <v>0</v>
      </c>
      <c r="M12" s="52">
        <f t="shared" si="2"/>
        <v>0</v>
      </c>
      <c r="N12" s="52">
        <f t="shared" si="2"/>
        <v>0</v>
      </c>
      <c r="O12" s="52">
        <f t="shared" si="2"/>
        <v>0</v>
      </c>
      <c r="P12" s="52">
        <f t="shared" si="2"/>
        <v>0</v>
      </c>
    </row>
    <row r="13" spans="1:16" x14ac:dyDescent="0.25">
      <c r="A13" t="str">
        <f>CONCATENATE(Tablo1[[#This Row],[BLOK]]," ",Tablo1[[#This Row],[DAİRE]])</f>
        <v>A-BLOK DAİRE 08</v>
      </c>
      <c r="B13" t="s">
        <v>98</v>
      </c>
      <c r="C13" t="s">
        <v>120</v>
      </c>
      <c r="D13">
        <v>128</v>
      </c>
      <c r="E13" s="52">
        <f t="shared" si="2"/>
        <v>0</v>
      </c>
      <c r="F13" s="52">
        <f t="shared" si="2"/>
        <v>0</v>
      </c>
      <c r="G13" s="52">
        <f t="shared" si="2"/>
        <v>0</v>
      </c>
      <c r="H13" s="52">
        <f t="shared" si="2"/>
        <v>0</v>
      </c>
      <c r="I13" s="52">
        <f t="shared" si="2"/>
        <v>0</v>
      </c>
      <c r="J13" s="52">
        <f t="shared" si="2"/>
        <v>0</v>
      </c>
      <c r="K13" s="52">
        <f t="shared" si="2"/>
        <v>0</v>
      </c>
      <c r="L13" s="52">
        <f t="shared" si="2"/>
        <v>0</v>
      </c>
      <c r="M13" s="52">
        <f t="shared" si="2"/>
        <v>0</v>
      </c>
      <c r="N13" s="52">
        <f t="shared" si="2"/>
        <v>0</v>
      </c>
      <c r="O13" s="52">
        <f t="shared" si="2"/>
        <v>0</v>
      </c>
      <c r="P13" s="52">
        <f t="shared" si="2"/>
        <v>0</v>
      </c>
    </row>
    <row r="14" spans="1:16" x14ac:dyDescent="0.25">
      <c r="A14" t="str">
        <f>CONCATENATE(Tablo1[[#This Row],[BLOK]]," ",Tablo1[[#This Row],[DAİRE]])</f>
        <v>A-BLOK DAİRE 09</v>
      </c>
      <c r="B14" t="s">
        <v>98</v>
      </c>
      <c r="C14" t="s">
        <v>122</v>
      </c>
      <c r="D14">
        <v>128</v>
      </c>
      <c r="E14" s="52">
        <f t="shared" si="2"/>
        <v>0</v>
      </c>
      <c r="F14" s="52">
        <f t="shared" si="2"/>
        <v>0</v>
      </c>
      <c r="G14" s="52">
        <f t="shared" si="2"/>
        <v>0</v>
      </c>
      <c r="H14" s="52">
        <f t="shared" si="2"/>
        <v>0</v>
      </c>
      <c r="I14" s="52">
        <f t="shared" si="2"/>
        <v>0</v>
      </c>
      <c r="J14" s="52">
        <f t="shared" si="2"/>
        <v>0</v>
      </c>
      <c r="K14" s="52">
        <f t="shared" si="2"/>
        <v>0</v>
      </c>
      <c r="L14" s="52">
        <f t="shared" si="2"/>
        <v>0</v>
      </c>
      <c r="M14" s="52">
        <f t="shared" si="2"/>
        <v>0</v>
      </c>
      <c r="N14" s="52">
        <f t="shared" si="2"/>
        <v>0</v>
      </c>
      <c r="O14" s="52">
        <f t="shared" si="2"/>
        <v>0</v>
      </c>
      <c r="P14" s="52">
        <f t="shared" si="2"/>
        <v>0</v>
      </c>
    </row>
    <row r="15" spans="1:16" x14ac:dyDescent="0.25">
      <c r="A15" t="str">
        <f>CONCATENATE(Tablo1[[#This Row],[BLOK]]," ",Tablo1[[#This Row],[DAİRE]])</f>
        <v>A-BLOK DAİRE 10</v>
      </c>
      <c r="B15" t="s">
        <v>98</v>
      </c>
      <c r="C15" t="s">
        <v>124</v>
      </c>
      <c r="D15">
        <v>126</v>
      </c>
      <c r="E15" s="52">
        <f t="shared" si="2"/>
        <v>0</v>
      </c>
      <c r="F15" s="52">
        <f t="shared" si="2"/>
        <v>0</v>
      </c>
      <c r="G15" s="52">
        <f t="shared" si="2"/>
        <v>0</v>
      </c>
      <c r="H15" s="52">
        <f t="shared" si="2"/>
        <v>0</v>
      </c>
      <c r="I15" s="52">
        <f t="shared" si="2"/>
        <v>0</v>
      </c>
      <c r="J15" s="52">
        <f t="shared" si="2"/>
        <v>0</v>
      </c>
      <c r="K15" s="52">
        <f t="shared" si="2"/>
        <v>0</v>
      </c>
      <c r="L15" s="52">
        <f t="shared" si="2"/>
        <v>0</v>
      </c>
      <c r="M15" s="52">
        <f t="shared" si="2"/>
        <v>0</v>
      </c>
      <c r="N15" s="52">
        <f t="shared" si="2"/>
        <v>0</v>
      </c>
      <c r="O15" s="52">
        <f t="shared" si="2"/>
        <v>0</v>
      </c>
      <c r="P15" s="52">
        <f t="shared" si="2"/>
        <v>0</v>
      </c>
    </row>
    <row r="16" spans="1:16" x14ac:dyDescent="0.25">
      <c r="A16" t="str">
        <f>CONCATENATE(Tablo1[[#This Row],[BLOK]]," ",Tablo1[[#This Row],[DAİRE]])</f>
        <v>A-BLOK DAİRE 11</v>
      </c>
      <c r="B16" t="s">
        <v>98</v>
      </c>
      <c r="C16" t="s">
        <v>126</v>
      </c>
      <c r="D16">
        <v>126</v>
      </c>
      <c r="E16" s="52">
        <f t="shared" si="2"/>
        <v>0</v>
      </c>
      <c r="F16" s="52">
        <f t="shared" si="2"/>
        <v>0</v>
      </c>
      <c r="G16" s="52">
        <f t="shared" si="2"/>
        <v>0</v>
      </c>
      <c r="H16" s="52">
        <f t="shared" si="2"/>
        <v>0</v>
      </c>
      <c r="I16" s="52">
        <f t="shared" si="2"/>
        <v>0</v>
      </c>
      <c r="J16" s="52">
        <f t="shared" si="2"/>
        <v>0</v>
      </c>
      <c r="K16" s="52">
        <f t="shared" si="2"/>
        <v>0</v>
      </c>
      <c r="L16" s="52">
        <f t="shared" si="2"/>
        <v>0</v>
      </c>
      <c r="M16" s="52">
        <f t="shared" si="2"/>
        <v>0</v>
      </c>
      <c r="N16" s="52">
        <f t="shared" si="2"/>
        <v>0</v>
      </c>
      <c r="O16" s="52">
        <f t="shared" si="2"/>
        <v>0</v>
      </c>
      <c r="P16" s="52">
        <f t="shared" si="2"/>
        <v>0</v>
      </c>
    </row>
    <row r="17" spans="1:16" x14ac:dyDescent="0.25">
      <c r="A17" t="str">
        <f>CONCATENATE(Tablo1[[#This Row],[BLOK]]," ",Tablo1[[#This Row],[DAİRE]])</f>
        <v>A-BLOK DAİRE 12</v>
      </c>
      <c r="B17" t="s">
        <v>98</v>
      </c>
      <c r="C17" t="s">
        <v>128</v>
      </c>
      <c r="D17">
        <v>128</v>
      </c>
      <c r="E17" s="52">
        <f t="shared" si="2"/>
        <v>0</v>
      </c>
      <c r="F17" s="52">
        <f t="shared" si="2"/>
        <v>0</v>
      </c>
      <c r="G17" s="52">
        <f t="shared" si="2"/>
        <v>0</v>
      </c>
      <c r="H17" s="52">
        <f t="shared" si="2"/>
        <v>0</v>
      </c>
      <c r="I17" s="52">
        <f t="shared" si="2"/>
        <v>0</v>
      </c>
      <c r="J17" s="52">
        <f t="shared" si="2"/>
        <v>0</v>
      </c>
      <c r="K17" s="52">
        <f t="shared" si="2"/>
        <v>0</v>
      </c>
      <c r="L17" s="52">
        <f t="shared" si="2"/>
        <v>0</v>
      </c>
      <c r="M17" s="52">
        <f t="shared" si="2"/>
        <v>0</v>
      </c>
      <c r="N17" s="52">
        <f t="shared" si="2"/>
        <v>0</v>
      </c>
      <c r="O17" s="52">
        <f t="shared" si="2"/>
        <v>0</v>
      </c>
      <c r="P17" s="52">
        <f t="shared" si="2"/>
        <v>0</v>
      </c>
    </row>
    <row r="18" spans="1:16" x14ac:dyDescent="0.25">
      <c r="A18" t="str">
        <f>CONCATENATE(Tablo1[[#This Row],[BLOK]]," ",Tablo1[[#This Row],[DAİRE]])</f>
        <v>A-BLOK DAİRE 13</v>
      </c>
      <c r="B18" t="s">
        <v>98</v>
      </c>
      <c r="C18" t="s">
        <v>130</v>
      </c>
      <c r="D18">
        <v>128</v>
      </c>
      <c r="E18" s="52">
        <f t="shared" si="2"/>
        <v>0</v>
      </c>
      <c r="F18" s="52">
        <f t="shared" si="2"/>
        <v>0</v>
      </c>
      <c r="G18" s="52">
        <f t="shared" si="2"/>
        <v>0</v>
      </c>
      <c r="H18" s="52">
        <f t="shared" si="2"/>
        <v>0</v>
      </c>
      <c r="I18" s="52">
        <f t="shared" si="2"/>
        <v>0</v>
      </c>
      <c r="J18" s="52">
        <f t="shared" si="2"/>
        <v>0</v>
      </c>
      <c r="K18" s="52">
        <f t="shared" si="2"/>
        <v>0</v>
      </c>
      <c r="L18" s="52">
        <f t="shared" si="2"/>
        <v>0</v>
      </c>
      <c r="M18" s="52">
        <f t="shared" si="2"/>
        <v>0</v>
      </c>
      <c r="N18" s="52">
        <f t="shared" si="2"/>
        <v>0</v>
      </c>
      <c r="O18" s="52">
        <f t="shared" si="2"/>
        <v>0</v>
      </c>
      <c r="P18" s="52">
        <f t="shared" si="2"/>
        <v>0</v>
      </c>
    </row>
    <row r="19" spans="1:16" x14ac:dyDescent="0.25">
      <c r="A19" t="str">
        <f>CONCATENATE(Tablo1[[#This Row],[BLOK]]," ",Tablo1[[#This Row],[DAİRE]])</f>
        <v>A-BLOK DAİRE 14</v>
      </c>
      <c r="B19" t="s">
        <v>98</v>
      </c>
      <c r="C19" t="s">
        <v>132</v>
      </c>
      <c r="D19">
        <v>126</v>
      </c>
      <c r="E19" s="52">
        <f t="shared" si="2"/>
        <v>0</v>
      </c>
      <c r="F19" s="52">
        <f t="shared" si="2"/>
        <v>0</v>
      </c>
      <c r="G19" s="52">
        <f t="shared" si="2"/>
        <v>0</v>
      </c>
      <c r="H19" s="52">
        <f t="shared" si="2"/>
        <v>0</v>
      </c>
      <c r="I19" s="52">
        <f t="shared" si="2"/>
        <v>0</v>
      </c>
      <c r="J19" s="52">
        <f t="shared" si="2"/>
        <v>0</v>
      </c>
      <c r="K19" s="52">
        <f t="shared" si="2"/>
        <v>0</v>
      </c>
      <c r="L19" s="52">
        <f t="shared" si="2"/>
        <v>0</v>
      </c>
      <c r="M19" s="52">
        <f t="shared" si="2"/>
        <v>0</v>
      </c>
      <c r="N19" s="52">
        <f t="shared" si="2"/>
        <v>0</v>
      </c>
      <c r="O19" s="52">
        <f t="shared" si="2"/>
        <v>0</v>
      </c>
      <c r="P19" s="52">
        <f t="shared" si="2"/>
        <v>0</v>
      </c>
    </row>
    <row r="20" spans="1:16" x14ac:dyDescent="0.25">
      <c r="A20" t="str">
        <f>CONCATENATE(Tablo1[[#This Row],[BLOK]]," ",Tablo1[[#This Row],[DAİRE]])</f>
        <v>A-BLOK DAİRE 15</v>
      </c>
      <c r="B20" t="s">
        <v>98</v>
      </c>
      <c r="C20" t="s">
        <v>134</v>
      </c>
      <c r="D20">
        <v>126</v>
      </c>
      <c r="E20" s="52">
        <f t="shared" si="2"/>
        <v>0</v>
      </c>
      <c r="F20" s="52">
        <f t="shared" si="2"/>
        <v>0</v>
      </c>
      <c r="G20" s="52">
        <f t="shared" si="2"/>
        <v>0</v>
      </c>
      <c r="H20" s="52">
        <f t="shared" si="2"/>
        <v>0</v>
      </c>
      <c r="I20" s="52">
        <f t="shared" si="2"/>
        <v>0</v>
      </c>
      <c r="J20" s="52">
        <f t="shared" si="2"/>
        <v>0</v>
      </c>
      <c r="K20" s="52">
        <f t="shared" si="2"/>
        <v>0</v>
      </c>
      <c r="L20" s="52">
        <f t="shared" si="2"/>
        <v>0</v>
      </c>
      <c r="M20" s="52">
        <f t="shared" si="2"/>
        <v>0</v>
      </c>
      <c r="N20" s="52">
        <f t="shared" si="2"/>
        <v>0</v>
      </c>
      <c r="O20" s="52">
        <f t="shared" si="2"/>
        <v>0</v>
      </c>
      <c r="P20" s="52">
        <f t="shared" si="2"/>
        <v>0</v>
      </c>
    </row>
    <row r="21" spans="1:16" x14ac:dyDescent="0.25">
      <c r="A21" t="str">
        <f>CONCATENATE(Tablo1[[#This Row],[BLOK]]," ",Tablo1[[#This Row],[DAİRE]])</f>
        <v>A-BLOK DAİRE 16</v>
      </c>
      <c r="B21" t="s">
        <v>98</v>
      </c>
      <c r="C21" t="s">
        <v>136</v>
      </c>
      <c r="D21">
        <v>128</v>
      </c>
      <c r="E21" s="52">
        <f t="shared" si="2"/>
        <v>0</v>
      </c>
      <c r="F21" s="52">
        <f t="shared" si="2"/>
        <v>0</v>
      </c>
      <c r="G21" s="52">
        <f t="shared" si="2"/>
        <v>0</v>
      </c>
      <c r="H21" s="52">
        <f t="shared" si="2"/>
        <v>0</v>
      </c>
      <c r="I21" s="52">
        <f t="shared" si="2"/>
        <v>0</v>
      </c>
      <c r="J21" s="52">
        <f t="shared" si="2"/>
        <v>0</v>
      </c>
      <c r="K21" s="52">
        <f t="shared" si="2"/>
        <v>0</v>
      </c>
      <c r="L21" s="52">
        <f t="shared" si="2"/>
        <v>0</v>
      </c>
      <c r="M21" s="52">
        <f t="shared" si="2"/>
        <v>0</v>
      </c>
      <c r="N21" s="52">
        <f t="shared" si="2"/>
        <v>0</v>
      </c>
      <c r="O21" s="52">
        <f t="shared" si="2"/>
        <v>0</v>
      </c>
      <c r="P21" s="52">
        <f t="shared" si="2"/>
        <v>0</v>
      </c>
    </row>
    <row r="22" spans="1:16" x14ac:dyDescent="0.25">
      <c r="A22" t="str">
        <f>CONCATENATE(Tablo1[[#This Row],[BLOK]]," ",Tablo1[[#This Row],[DAİRE]])</f>
        <v>A-BLOK DAİRE 17</v>
      </c>
      <c r="B22" t="s">
        <v>98</v>
      </c>
      <c r="C22" t="s">
        <v>138</v>
      </c>
      <c r="D22">
        <v>128</v>
      </c>
      <c r="E22" s="52">
        <f t="shared" si="2"/>
        <v>0</v>
      </c>
      <c r="F22" s="52">
        <f t="shared" si="2"/>
        <v>0</v>
      </c>
      <c r="G22" s="52">
        <f t="shared" si="2"/>
        <v>0</v>
      </c>
      <c r="H22" s="52">
        <f t="shared" si="2"/>
        <v>0</v>
      </c>
      <c r="I22" s="52">
        <f t="shared" si="2"/>
        <v>0</v>
      </c>
      <c r="J22" s="52">
        <f t="shared" si="2"/>
        <v>0</v>
      </c>
      <c r="K22" s="52">
        <f t="shared" si="2"/>
        <v>0</v>
      </c>
      <c r="L22" s="52">
        <f t="shared" si="2"/>
        <v>0</v>
      </c>
      <c r="M22" s="52">
        <f t="shared" si="2"/>
        <v>0</v>
      </c>
      <c r="N22" s="52">
        <f t="shared" si="2"/>
        <v>0</v>
      </c>
      <c r="O22" s="52">
        <f t="shared" si="2"/>
        <v>0</v>
      </c>
      <c r="P22" s="52">
        <f t="shared" si="2"/>
        <v>0</v>
      </c>
    </row>
    <row r="23" spans="1:16" x14ac:dyDescent="0.25">
      <c r="A23" t="str">
        <f>CONCATENATE(Tablo1[[#This Row],[BLOK]]," ",Tablo1[[#This Row],[DAİRE]])</f>
        <v>A-BLOK DAİRE 18</v>
      </c>
      <c r="B23" t="s">
        <v>98</v>
      </c>
      <c r="C23" t="s">
        <v>140</v>
      </c>
      <c r="D23">
        <v>126</v>
      </c>
      <c r="E23" s="52">
        <f t="shared" si="2"/>
        <v>0</v>
      </c>
      <c r="F23" s="52">
        <f t="shared" si="2"/>
        <v>0</v>
      </c>
      <c r="G23" s="52">
        <f t="shared" si="2"/>
        <v>0</v>
      </c>
      <c r="H23" s="52">
        <f t="shared" si="2"/>
        <v>0</v>
      </c>
      <c r="I23" s="52">
        <f t="shared" si="2"/>
        <v>0</v>
      </c>
      <c r="J23" s="52">
        <f t="shared" si="2"/>
        <v>0</v>
      </c>
      <c r="K23" s="52">
        <f t="shared" si="2"/>
        <v>0</v>
      </c>
      <c r="L23" s="52">
        <f t="shared" si="2"/>
        <v>0</v>
      </c>
      <c r="M23" s="52">
        <f t="shared" si="2"/>
        <v>0</v>
      </c>
      <c r="N23" s="52">
        <f t="shared" si="2"/>
        <v>0</v>
      </c>
      <c r="O23" s="52">
        <f t="shared" si="2"/>
        <v>0</v>
      </c>
      <c r="P23" s="52">
        <f t="shared" si="2"/>
        <v>0</v>
      </c>
    </row>
    <row r="24" spans="1:16" x14ac:dyDescent="0.25">
      <c r="A24" t="str">
        <f>CONCATENATE(Tablo1[[#This Row],[BLOK]]," ",Tablo1[[#This Row],[DAİRE]])</f>
        <v>A-BLOK DAİRE 19</v>
      </c>
      <c r="B24" t="s">
        <v>98</v>
      </c>
      <c r="C24" t="s">
        <v>142</v>
      </c>
      <c r="D24">
        <v>126</v>
      </c>
      <c r="E24" s="52">
        <f t="shared" si="2"/>
        <v>0</v>
      </c>
      <c r="F24" s="52">
        <f t="shared" si="2"/>
        <v>0</v>
      </c>
      <c r="G24" s="52">
        <f t="shared" si="2"/>
        <v>0</v>
      </c>
      <c r="H24" s="52">
        <f t="shared" si="2"/>
        <v>0</v>
      </c>
      <c r="I24" s="52">
        <f t="shared" si="2"/>
        <v>0</v>
      </c>
      <c r="J24" s="52">
        <f t="shared" si="2"/>
        <v>0</v>
      </c>
      <c r="K24" s="52">
        <f t="shared" si="2"/>
        <v>0</v>
      </c>
      <c r="L24" s="52">
        <f t="shared" si="2"/>
        <v>0</v>
      </c>
      <c r="M24" s="52">
        <f t="shared" si="2"/>
        <v>0</v>
      </c>
      <c r="N24" s="52">
        <f t="shared" si="2"/>
        <v>0</v>
      </c>
      <c r="O24" s="52">
        <f t="shared" si="2"/>
        <v>0</v>
      </c>
      <c r="P24" s="52">
        <f t="shared" si="2"/>
        <v>0</v>
      </c>
    </row>
    <row r="25" spans="1:16" x14ac:dyDescent="0.25">
      <c r="A25" t="str">
        <f>CONCATENATE(Tablo1[[#This Row],[BLOK]]," ",Tablo1[[#This Row],[DAİRE]])</f>
        <v>A-BLOK DAİRE 20</v>
      </c>
      <c r="B25" t="s">
        <v>98</v>
      </c>
      <c r="C25" t="s">
        <v>144</v>
      </c>
      <c r="D25">
        <v>128</v>
      </c>
      <c r="E25" s="52">
        <f t="shared" si="2"/>
        <v>0</v>
      </c>
      <c r="F25" s="52">
        <f t="shared" si="2"/>
        <v>0</v>
      </c>
      <c r="G25" s="52">
        <f t="shared" si="2"/>
        <v>0</v>
      </c>
      <c r="H25" s="52">
        <f t="shared" si="2"/>
        <v>0</v>
      </c>
      <c r="I25" s="52">
        <f t="shared" si="2"/>
        <v>0</v>
      </c>
      <c r="J25" s="52">
        <f t="shared" si="2"/>
        <v>0</v>
      </c>
      <c r="K25" s="52">
        <f t="shared" si="2"/>
        <v>0</v>
      </c>
      <c r="L25" s="52">
        <f t="shared" si="2"/>
        <v>0</v>
      </c>
      <c r="M25" s="52">
        <f t="shared" si="2"/>
        <v>0</v>
      </c>
      <c r="N25" s="52">
        <f t="shared" si="2"/>
        <v>0</v>
      </c>
      <c r="O25" s="52">
        <f t="shared" si="2"/>
        <v>0</v>
      </c>
      <c r="P25" s="52">
        <f t="shared" si="2"/>
        <v>0</v>
      </c>
    </row>
    <row r="26" spans="1:16" x14ac:dyDescent="0.25">
      <c r="A26" t="str">
        <f>CONCATENATE(Tablo1[[#This Row],[BLOK]]," ",Tablo1[[#This Row],[DAİRE]])</f>
        <v>A-BLOK DAİRE 21</v>
      </c>
      <c r="B26" t="s">
        <v>98</v>
      </c>
      <c r="C26" t="s">
        <v>146</v>
      </c>
      <c r="D26">
        <v>128</v>
      </c>
      <c r="E26" s="52">
        <f t="shared" si="2"/>
        <v>0</v>
      </c>
      <c r="F26" s="52">
        <f t="shared" si="2"/>
        <v>0</v>
      </c>
      <c r="G26" s="52">
        <f t="shared" si="2"/>
        <v>0</v>
      </c>
      <c r="H26" s="52">
        <f t="shared" si="2"/>
        <v>0</v>
      </c>
      <c r="I26" s="52">
        <f t="shared" si="2"/>
        <v>0</v>
      </c>
      <c r="J26" s="52">
        <f t="shared" si="2"/>
        <v>0</v>
      </c>
      <c r="K26" s="52">
        <f t="shared" si="2"/>
        <v>0</v>
      </c>
      <c r="L26" s="52">
        <f t="shared" si="2"/>
        <v>0</v>
      </c>
      <c r="M26" s="52">
        <f t="shared" si="2"/>
        <v>0</v>
      </c>
      <c r="N26" s="52">
        <f t="shared" si="2"/>
        <v>0</v>
      </c>
      <c r="O26" s="52">
        <f t="shared" si="2"/>
        <v>0</v>
      </c>
      <c r="P26" s="52">
        <f t="shared" si="2"/>
        <v>0</v>
      </c>
    </row>
    <row r="27" spans="1:16" x14ac:dyDescent="0.25">
      <c r="A27" t="str">
        <f>CONCATENATE(Tablo1[[#This Row],[BLOK]]," ",Tablo1[[#This Row],[DAİRE]])</f>
        <v>A-BLOK DAİRE 22</v>
      </c>
      <c r="B27" t="s">
        <v>98</v>
      </c>
      <c r="C27" t="s">
        <v>148</v>
      </c>
      <c r="D27">
        <v>126</v>
      </c>
      <c r="E27" s="52">
        <f t="shared" si="2"/>
        <v>0</v>
      </c>
      <c r="F27" s="52">
        <f t="shared" si="2"/>
        <v>0</v>
      </c>
      <c r="G27" s="52">
        <f t="shared" si="2"/>
        <v>0</v>
      </c>
      <c r="H27" s="52">
        <f t="shared" si="2"/>
        <v>0</v>
      </c>
      <c r="I27" s="52">
        <f t="shared" si="2"/>
        <v>0</v>
      </c>
      <c r="J27" s="52">
        <f t="shared" si="2"/>
        <v>0</v>
      </c>
      <c r="K27" s="52">
        <f t="shared" si="2"/>
        <v>0</v>
      </c>
      <c r="L27" s="52">
        <f t="shared" si="2"/>
        <v>0</v>
      </c>
      <c r="M27" s="52">
        <f t="shared" si="2"/>
        <v>0</v>
      </c>
      <c r="N27" s="52">
        <f t="shared" si="2"/>
        <v>0</v>
      </c>
      <c r="O27" s="52">
        <f t="shared" si="2"/>
        <v>0</v>
      </c>
      <c r="P27" s="52">
        <f t="shared" si="2"/>
        <v>0</v>
      </c>
    </row>
    <row r="28" spans="1:16" x14ac:dyDescent="0.25">
      <c r="A28" t="str">
        <f>CONCATENATE(Tablo1[[#This Row],[BLOK]]," ",Tablo1[[#This Row],[DAİRE]])</f>
        <v>A-BLOK DAİRE 23</v>
      </c>
      <c r="B28" t="s">
        <v>98</v>
      </c>
      <c r="C28" t="s">
        <v>150</v>
      </c>
      <c r="D28">
        <v>126</v>
      </c>
      <c r="E28" s="52">
        <f t="shared" si="2"/>
        <v>0</v>
      </c>
      <c r="F28" s="52">
        <f t="shared" si="2"/>
        <v>0</v>
      </c>
      <c r="G28" s="52">
        <f t="shared" si="2"/>
        <v>0</v>
      </c>
      <c r="H28" s="52">
        <f t="shared" ref="E28:P49" si="3">ROUNDUP(H$4*$D28,1)</f>
        <v>0</v>
      </c>
      <c r="I28" s="52">
        <f t="shared" si="3"/>
        <v>0</v>
      </c>
      <c r="J28" s="52">
        <f t="shared" si="3"/>
        <v>0</v>
      </c>
      <c r="K28" s="52">
        <f t="shared" si="3"/>
        <v>0</v>
      </c>
      <c r="L28" s="52">
        <f t="shared" si="3"/>
        <v>0</v>
      </c>
      <c r="M28" s="52">
        <f t="shared" si="3"/>
        <v>0</v>
      </c>
      <c r="N28" s="52">
        <f t="shared" si="3"/>
        <v>0</v>
      </c>
      <c r="O28" s="52">
        <f t="shared" si="3"/>
        <v>0</v>
      </c>
      <c r="P28" s="52">
        <f t="shared" si="3"/>
        <v>0</v>
      </c>
    </row>
    <row r="29" spans="1:16" x14ac:dyDescent="0.25">
      <c r="A29" t="str">
        <f>CONCATENATE(Tablo1[[#This Row],[BLOK]]," ",Tablo1[[#This Row],[DAİRE]])</f>
        <v>A-BLOK DAİRE 24</v>
      </c>
      <c r="B29" t="s">
        <v>98</v>
      </c>
      <c r="C29" t="s">
        <v>152</v>
      </c>
      <c r="D29">
        <v>128</v>
      </c>
      <c r="E29" s="52">
        <f t="shared" si="3"/>
        <v>0</v>
      </c>
      <c r="F29" s="52">
        <f t="shared" si="3"/>
        <v>0</v>
      </c>
      <c r="G29" s="52">
        <f t="shared" si="3"/>
        <v>0</v>
      </c>
      <c r="H29" s="52">
        <f t="shared" si="3"/>
        <v>0</v>
      </c>
      <c r="I29" s="52">
        <f t="shared" si="3"/>
        <v>0</v>
      </c>
      <c r="J29" s="52">
        <f t="shared" si="3"/>
        <v>0</v>
      </c>
      <c r="K29" s="52">
        <f t="shared" si="3"/>
        <v>0</v>
      </c>
      <c r="L29" s="52">
        <f t="shared" si="3"/>
        <v>0</v>
      </c>
      <c r="M29" s="52">
        <f t="shared" si="3"/>
        <v>0</v>
      </c>
      <c r="N29" s="52">
        <f t="shared" si="3"/>
        <v>0</v>
      </c>
      <c r="O29" s="52">
        <f t="shared" si="3"/>
        <v>0</v>
      </c>
      <c r="P29" s="52">
        <f t="shared" si="3"/>
        <v>0</v>
      </c>
    </row>
    <row r="30" spans="1:16" x14ac:dyDescent="0.25">
      <c r="A30" t="str">
        <f>CONCATENATE(Tablo1[[#This Row],[BLOK]]," ",Tablo1[[#This Row],[DAİRE]])</f>
        <v>A-BLOK DAİRE 25</v>
      </c>
      <c r="B30" t="s">
        <v>98</v>
      </c>
      <c r="C30" t="s">
        <v>154</v>
      </c>
      <c r="D30">
        <v>128</v>
      </c>
      <c r="E30" s="52">
        <f t="shared" si="3"/>
        <v>0</v>
      </c>
      <c r="F30" s="52">
        <f t="shared" si="3"/>
        <v>0</v>
      </c>
      <c r="G30" s="52">
        <f t="shared" si="3"/>
        <v>0</v>
      </c>
      <c r="H30" s="52">
        <f t="shared" si="3"/>
        <v>0</v>
      </c>
      <c r="I30" s="52">
        <f t="shared" si="3"/>
        <v>0</v>
      </c>
      <c r="J30" s="52">
        <f t="shared" si="3"/>
        <v>0</v>
      </c>
      <c r="K30" s="52">
        <f t="shared" si="3"/>
        <v>0</v>
      </c>
      <c r="L30" s="52">
        <f t="shared" si="3"/>
        <v>0</v>
      </c>
      <c r="M30" s="52">
        <f t="shared" si="3"/>
        <v>0</v>
      </c>
      <c r="N30" s="52">
        <f t="shared" si="3"/>
        <v>0</v>
      </c>
      <c r="O30" s="52">
        <f t="shared" si="3"/>
        <v>0</v>
      </c>
      <c r="P30" s="52">
        <f t="shared" si="3"/>
        <v>0</v>
      </c>
    </row>
    <row r="31" spans="1:16" x14ac:dyDescent="0.25">
      <c r="A31" t="str">
        <f>CONCATENATE(Tablo1[[#This Row],[BLOK]]," ",Tablo1[[#This Row],[DAİRE]])</f>
        <v>A-BLOK DAİRE 26</v>
      </c>
      <c r="B31" t="s">
        <v>98</v>
      </c>
      <c r="C31" t="s">
        <v>155</v>
      </c>
      <c r="D31">
        <v>126</v>
      </c>
      <c r="E31" s="52">
        <f t="shared" si="3"/>
        <v>0</v>
      </c>
      <c r="F31" s="52">
        <f t="shared" si="3"/>
        <v>0</v>
      </c>
      <c r="G31" s="52">
        <f t="shared" si="3"/>
        <v>0</v>
      </c>
      <c r="H31" s="52">
        <f t="shared" si="3"/>
        <v>0</v>
      </c>
      <c r="I31" s="52">
        <f t="shared" si="3"/>
        <v>0</v>
      </c>
      <c r="J31" s="52">
        <f t="shared" si="3"/>
        <v>0</v>
      </c>
      <c r="K31" s="52">
        <f t="shared" si="3"/>
        <v>0</v>
      </c>
      <c r="L31" s="52">
        <f t="shared" si="3"/>
        <v>0</v>
      </c>
      <c r="M31" s="52">
        <f t="shared" si="3"/>
        <v>0</v>
      </c>
      <c r="N31" s="52">
        <f t="shared" si="3"/>
        <v>0</v>
      </c>
      <c r="O31" s="52">
        <f t="shared" si="3"/>
        <v>0</v>
      </c>
      <c r="P31" s="52">
        <f t="shared" si="3"/>
        <v>0</v>
      </c>
    </row>
    <row r="32" spans="1:16" x14ac:dyDescent="0.25">
      <c r="A32" t="str">
        <f>CONCATENATE(Tablo1[[#This Row],[BLOK]]," ",Tablo1[[#This Row],[DAİRE]])</f>
        <v>A-BLOK DAİRE 27</v>
      </c>
      <c r="B32" t="s">
        <v>98</v>
      </c>
      <c r="C32" t="s">
        <v>156</v>
      </c>
      <c r="D32">
        <v>126</v>
      </c>
      <c r="E32" s="52">
        <f t="shared" si="3"/>
        <v>0</v>
      </c>
      <c r="F32" s="52">
        <f t="shared" si="3"/>
        <v>0</v>
      </c>
      <c r="G32" s="52">
        <f t="shared" si="3"/>
        <v>0</v>
      </c>
      <c r="H32" s="52">
        <f t="shared" si="3"/>
        <v>0</v>
      </c>
      <c r="I32" s="52">
        <f t="shared" si="3"/>
        <v>0</v>
      </c>
      <c r="J32" s="52">
        <f t="shared" si="3"/>
        <v>0</v>
      </c>
      <c r="K32" s="52">
        <f t="shared" si="3"/>
        <v>0</v>
      </c>
      <c r="L32" s="52">
        <f t="shared" si="3"/>
        <v>0</v>
      </c>
      <c r="M32" s="52">
        <f t="shared" si="3"/>
        <v>0</v>
      </c>
      <c r="N32" s="52">
        <f t="shared" si="3"/>
        <v>0</v>
      </c>
      <c r="O32" s="52">
        <f t="shared" si="3"/>
        <v>0</v>
      </c>
      <c r="P32" s="52">
        <f t="shared" si="3"/>
        <v>0</v>
      </c>
    </row>
    <row r="33" spans="1:16" x14ac:dyDescent="0.25">
      <c r="A33" t="str">
        <f>CONCATENATE(Tablo1[[#This Row],[BLOK]]," ",Tablo1[[#This Row],[DAİRE]])</f>
        <v>A-BLOK DAİRE 28</v>
      </c>
      <c r="B33" t="s">
        <v>98</v>
      </c>
      <c r="C33" t="s">
        <v>158</v>
      </c>
      <c r="D33">
        <v>128</v>
      </c>
      <c r="E33" s="52">
        <f t="shared" si="3"/>
        <v>0</v>
      </c>
      <c r="F33" s="52">
        <f t="shared" si="3"/>
        <v>0</v>
      </c>
      <c r="G33" s="52">
        <f t="shared" si="3"/>
        <v>0</v>
      </c>
      <c r="H33" s="52">
        <f t="shared" si="3"/>
        <v>0</v>
      </c>
      <c r="I33" s="52">
        <f t="shared" si="3"/>
        <v>0</v>
      </c>
      <c r="J33" s="52">
        <f t="shared" si="3"/>
        <v>0</v>
      </c>
      <c r="K33" s="52">
        <f t="shared" si="3"/>
        <v>0</v>
      </c>
      <c r="L33" s="52">
        <f t="shared" si="3"/>
        <v>0</v>
      </c>
      <c r="M33" s="52">
        <f t="shared" si="3"/>
        <v>0</v>
      </c>
      <c r="N33" s="52">
        <f t="shared" si="3"/>
        <v>0</v>
      </c>
      <c r="O33" s="52">
        <f t="shared" si="3"/>
        <v>0</v>
      </c>
      <c r="P33" s="52">
        <f t="shared" si="3"/>
        <v>0</v>
      </c>
    </row>
    <row r="34" spans="1:16" x14ac:dyDescent="0.25">
      <c r="A34" t="str">
        <f>CONCATENATE(Tablo1[[#This Row],[BLOK]]," ",Tablo1[[#This Row],[DAİRE]])</f>
        <v>A-BLOK DAİRE 29</v>
      </c>
      <c r="B34" t="s">
        <v>98</v>
      </c>
      <c r="C34" t="s">
        <v>159</v>
      </c>
      <c r="D34">
        <v>128</v>
      </c>
      <c r="E34" s="52">
        <f t="shared" si="3"/>
        <v>0</v>
      </c>
      <c r="F34" s="52">
        <f t="shared" si="3"/>
        <v>0</v>
      </c>
      <c r="G34" s="52">
        <f t="shared" si="3"/>
        <v>0</v>
      </c>
      <c r="H34" s="52">
        <f t="shared" si="3"/>
        <v>0</v>
      </c>
      <c r="I34" s="52">
        <f t="shared" si="3"/>
        <v>0</v>
      </c>
      <c r="J34" s="52">
        <f t="shared" si="3"/>
        <v>0</v>
      </c>
      <c r="K34" s="52">
        <f t="shared" si="3"/>
        <v>0</v>
      </c>
      <c r="L34" s="52">
        <f t="shared" si="3"/>
        <v>0</v>
      </c>
      <c r="M34" s="52">
        <f t="shared" si="3"/>
        <v>0</v>
      </c>
      <c r="N34" s="52">
        <f t="shared" si="3"/>
        <v>0</v>
      </c>
      <c r="O34" s="52">
        <f t="shared" si="3"/>
        <v>0</v>
      </c>
      <c r="P34" s="52">
        <f t="shared" si="3"/>
        <v>0</v>
      </c>
    </row>
    <row r="35" spans="1:16" x14ac:dyDescent="0.25">
      <c r="A35" t="str">
        <f>CONCATENATE(Tablo1[[#This Row],[BLOK]]," ",Tablo1[[#This Row],[DAİRE]])</f>
        <v>A-BLOK DAİRE 30</v>
      </c>
      <c r="B35" t="s">
        <v>98</v>
      </c>
      <c r="C35" t="s">
        <v>160</v>
      </c>
      <c r="D35">
        <v>126</v>
      </c>
      <c r="E35" s="52">
        <f t="shared" si="3"/>
        <v>0</v>
      </c>
      <c r="F35" s="52">
        <f t="shared" si="3"/>
        <v>0</v>
      </c>
      <c r="G35" s="52">
        <f t="shared" si="3"/>
        <v>0</v>
      </c>
      <c r="H35" s="52">
        <f t="shared" si="3"/>
        <v>0</v>
      </c>
      <c r="I35" s="52">
        <f t="shared" si="3"/>
        <v>0</v>
      </c>
      <c r="J35" s="52">
        <f t="shared" si="3"/>
        <v>0</v>
      </c>
      <c r="K35" s="52">
        <f t="shared" si="3"/>
        <v>0</v>
      </c>
      <c r="L35" s="52">
        <f t="shared" si="3"/>
        <v>0</v>
      </c>
      <c r="M35" s="52">
        <f t="shared" si="3"/>
        <v>0</v>
      </c>
      <c r="N35" s="52">
        <f t="shared" si="3"/>
        <v>0</v>
      </c>
      <c r="O35" s="52">
        <f t="shared" si="3"/>
        <v>0</v>
      </c>
      <c r="P35" s="52">
        <f t="shared" si="3"/>
        <v>0</v>
      </c>
    </row>
    <row r="36" spans="1:16" x14ac:dyDescent="0.25">
      <c r="A36" t="str">
        <f>CONCATENATE(Tablo1[[#This Row],[BLOK]]," ",Tablo1[[#This Row],[DAİRE]])</f>
        <v>A-BLOK DAİRE 31</v>
      </c>
      <c r="B36" t="s">
        <v>98</v>
      </c>
      <c r="C36" t="s">
        <v>162</v>
      </c>
      <c r="D36">
        <v>126</v>
      </c>
      <c r="E36" s="52">
        <f t="shared" si="3"/>
        <v>0</v>
      </c>
      <c r="F36" s="52">
        <f t="shared" si="3"/>
        <v>0</v>
      </c>
      <c r="G36" s="52">
        <f t="shared" si="3"/>
        <v>0</v>
      </c>
      <c r="H36" s="52">
        <f t="shared" si="3"/>
        <v>0</v>
      </c>
      <c r="I36" s="52">
        <f t="shared" si="3"/>
        <v>0</v>
      </c>
      <c r="J36" s="52">
        <f t="shared" si="3"/>
        <v>0</v>
      </c>
      <c r="K36" s="52">
        <f t="shared" si="3"/>
        <v>0</v>
      </c>
      <c r="L36" s="52">
        <f t="shared" si="3"/>
        <v>0</v>
      </c>
      <c r="M36" s="52">
        <f t="shared" si="3"/>
        <v>0</v>
      </c>
      <c r="N36" s="52">
        <f t="shared" si="3"/>
        <v>0</v>
      </c>
      <c r="O36" s="52">
        <f t="shared" si="3"/>
        <v>0</v>
      </c>
      <c r="P36" s="52">
        <f t="shared" si="3"/>
        <v>0</v>
      </c>
    </row>
    <row r="37" spans="1:16" x14ac:dyDescent="0.25">
      <c r="A37" t="str">
        <f>CONCATENATE(Tablo1[[#This Row],[BLOK]]," ",Tablo1[[#This Row],[DAİRE]])</f>
        <v>B-BLOK KAPICI D.</v>
      </c>
      <c r="B37" t="s">
        <v>100</v>
      </c>
      <c r="C37" t="s">
        <v>166</v>
      </c>
      <c r="D37">
        <v>65</v>
      </c>
      <c r="E37" s="52">
        <f t="shared" si="3"/>
        <v>0</v>
      </c>
      <c r="F37" s="52">
        <f t="shared" si="3"/>
        <v>0</v>
      </c>
      <c r="G37" s="52">
        <f t="shared" si="3"/>
        <v>0</v>
      </c>
      <c r="H37" s="52">
        <f t="shared" si="3"/>
        <v>0</v>
      </c>
      <c r="I37" s="52">
        <f t="shared" si="3"/>
        <v>0</v>
      </c>
      <c r="J37" s="52">
        <f t="shared" si="3"/>
        <v>0</v>
      </c>
      <c r="K37" s="52">
        <f t="shared" si="3"/>
        <v>0</v>
      </c>
      <c r="L37" s="52">
        <f t="shared" si="3"/>
        <v>0</v>
      </c>
      <c r="M37" s="52">
        <f t="shared" si="3"/>
        <v>0</v>
      </c>
      <c r="N37" s="52">
        <f t="shared" si="3"/>
        <v>0</v>
      </c>
      <c r="O37" s="52">
        <f t="shared" si="3"/>
        <v>0</v>
      </c>
      <c r="P37" s="52">
        <f t="shared" si="3"/>
        <v>0</v>
      </c>
    </row>
    <row r="38" spans="1:16" x14ac:dyDescent="0.25">
      <c r="A38" t="str">
        <f>CONCATENATE(Tablo1[[#This Row],[BLOK]]," ",Tablo1[[#This Row],[DAİRE]])</f>
        <v>B-BLOK DAİRE 01</v>
      </c>
      <c r="B38" t="s">
        <v>100</v>
      </c>
      <c r="C38" t="s">
        <v>101</v>
      </c>
      <c r="D38">
        <v>94</v>
      </c>
      <c r="E38" s="52">
        <f t="shared" si="3"/>
        <v>0</v>
      </c>
      <c r="F38" s="52">
        <f t="shared" si="3"/>
        <v>0</v>
      </c>
      <c r="G38" s="52">
        <f t="shared" si="3"/>
        <v>0</v>
      </c>
      <c r="H38" s="52">
        <f t="shared" si="3"/>
        <v>0</v>
      </c>
      <c r="I38" s="52">
        <f t="shared" si="3"/>
        <v>0</v>
      </c>
      <c r="J38" s="52">
        <f t="shared" si="3"/>
        <v>0</v>
      </c>
      <c r="K38" s="52">
        <f t="shared" si="3"/>
        <v>0</v>
      </c>
      <c r="L38" s="52">
        <f t="shared" si="3"/>
        <v>0</v>
      </c>
      <c r="M38" s="52">
        <f t="shared" si="3"/>
        <v>0</v>
      </c>
      <c r="N38" s="52">
        <f t="shared" si="3"/>
        <v>0</v>
      </c>
      <c r="O38" s="52">
        <f t="shared" si="3"/>
        <v>0</v>
      </c>
      <c r="P38" s="52">
        <f t="shared" si="3"/>
        <v>0</v>
      </c>
    </row>
    <row r="39" spans="1:16" x14ac:dyDescent="0.25">
      <c r="A39" t="str">
        <f>CONCATENATE(Tablo1[[#This Row],[BLOK]]," ",Tablo1[[#This Row],[DAİRE]])</f>
        <v>B-BLOK DAİRE 02</v>
      </c>
      <c r="B39" t="s">
        <v>100</v>
      </c>
      <c r="C39" t="s">
        <v>105</v>
      </c>
      <c r="D39">
        <v>120</v>
      </c>
      <c r="E39" s="52">
        <f t="shared" si="3"/>
        <v>0</v>
      </c>
      <c r="F39" s="52">
        <f t="shared" si="3"/>
        <v>0</v>
      </c>
      <c r="G39" s="52">
        <f t="shared" si="3"/>
        <v>0</v>
      </c>
      <c r="H39" s="52">
        <f t="shared" si="3"/>
        <v>0</v>
      </c>
      <c r="I39" s="52">
        <f t="shared" si="3"/>
        <v>0</v>
      </c>
      <c r="J39" s="52">
        <f t="shared" si="3"/>
        <v>0</v>
      </c>
      <c r="K39" s="52">
        <f t="shared" si="3"/>
        <v>0</v>
      </c>
      <c r="L39" s="52">
        <f t="shared" si="3"/>
        <v>0</v>
      </c>
      <c r="M39" s="52">
        <f t="shared" si="3"/>
        <v>0</v>
      </c>
      <c r="N39" s="52">
        <f t="shared" si="3"/>
        <v>0</v>
      </c>
      <c r="O39" s="52">
        <f t="shared" si="3"/>
        <v>0</v>
      </c>
      <c r="P39" s="52">
        <f t="shared" si="3"/>
        <v>0</v>
      </c>
    </row>
    <row r="40" spans="1:16" x14ac:dyDescent="0.25">
      <c r="A40" t="str">
        <f>CONCATENATE(Tablo1[[#This Row],[BLOK]]," ",Tablo1[[#This Row],[DAİRE]])</f>
        <v>B-BLOK DAİRE 03</v>
      </c>
      <c r="B40" t="s">
        <v>100</v>
      </c>
      <c r="C40" t="s">
        <v>108</v>
      </c>
      <c r="D40">
        <v>120</v>
      </c>
      <c r="E40" s="52">
        <f t="shared" si="3"/>
        <v>0</v>
      </c>
      <c r="F40" s="52">
        <f t="shared" si="3"/>
        <v>0</v>
      </c>
      <c r="G40" s="52">
        <f t="shared" si="3"/>
        <v>0</v>
      </c>
      <c r="H40" s="52">
        <f t="shared" si="3"/>
        <v>0</v>
      </c>
      <c r="I40" s="52">
        <f t="shared" si="3"/>
        <v>0</v>
      </c>
      <c r="J40" s="52">
        <f t="shared" si="3"/>
        <v>0</v>
      </c>
      <c r="K40" s="52">
        <f t="shared" si="3"/>
        <v>0</v>
      </c>
      <c r="L40" s="52">
        <f t="shared" si="3"/>
        <v>0</v>
      </c>
      <c r="M40" s="52">
        <f t="shared" si="3"/>
        <v>0</v>
      </c>
      <c r="N40" s="52">
        <f t="shared" si="3"/>
        <v>0</v>
      </c>
      <c r="O40" s="52">
        <f t="shared" si="3"/>
        <v>0</v>
      </c>
      <c r="P40" s="52">
        <f t="shared" si="3"/>
        <v>0</v>
      </c>
    </row>
    <row r="41" spans="1:16" x14ac:dyDescent="0.25">
      <c r="A41" t="str">
        <f>CONCATENATE(Tablo1[[#This Row],[BLOK]]," ",Tablo1[[#This Row],[DAİRE]])</f>
        <v>B-BLOK DAİRE 04</v>
      </c>
      <c r="B41" t="s">
        <v>100</v>
      </c>
      <c r="C41" t="s">
        <v>111</v>
      </c>
      <c r="D41">
        <v>110</v>
      </c>
      <c r="E41" s="52">
        <f t="shared" si="3"/>
        <v>0</v>
      </c>
      <c r="F41" s="52">
        <f t="shared" si="3"/>
        <v>0</v>
      </c>
      <c r="G41" s="52">
        <f t="shared" si="3"/>
        <v>0</v>
      </c>
      <c r="H41" s="52">
        <f t="shared" si="3"/>
        <v>0</v>
      </c>
      <c r="I41" s="52">
        <f t="shared" si="3"/>
        <v>0</v>
      </c>
      <c r="J41" s="52">
        <f t="shared" si="3"/>
        <v>0</v>
      </c>
      <c r="K41" s="52">
        <f t="shared" si="3"/>
        <v>0</v>
      </c>
      <c r="L41" s="52">
        <f t="shared" si="3"/>
        <v>0</v>
      </c>
      <c r="M41" s="52">
        <f t="shared" si="3"/>
        <v>0</v>
      </c>
      <c r="N41" s="52">
        <f t="shared" si="3"/>
        <v>0</v>
      </c>
      <c r="O41" s="52">
        <f t="shared" si="3"/>
        <v>0</v>
      </c>
      <c r="P41" s="52">
        <f t="shared" si="3"/>
        <v>0</v>
      </c>
    </row>
    <row r="42" spans="1:16" x14ac:dyDescent="0.25">
      <c r="A42" t="str">
        <f>CONCATENATE(Tablo1[[#This Row],[BLOK]]," ",Tablo1[[#This Row],[DAİRE]])</f>
        <v>B-BLOK DAİRE 05</v>
      </c>
      <c r="B42" t="s">
        <v>100</v>
      </c>
      <c r="C42" t="s">
        <v>114</v>
      </c>
      <c r="D42">
        <v>126</v>
      </c>
      <c r="E42" s="52">
        <f t="shared" si="3"/>
        <v>0</v>
      </c>
      <c r="F42" s="52">
        <f t="shared" si="3"/>
        <v>0</v>
      </c>
      <c r="G42" s="52">
        <f t="shared" si="3"/>
        <v>0</v>
      </c>
      <c r="H42" s="52">
        <f t="shared" si="3"/>
        <v>0</v>
      </c>
      <c r="I42" s="52">
        <f t="shared" si="3"/>
        <v>0</v>
      </c>
      <c r="J42" s="52">
        <f t="shared" si="3"/>
        <v>0</v>
      </c>
      <c r="K42" s="52">
        <f t="shared" si="3"/>
        <v>0</v>
      </c>
      <c r="L42" s="52">
        <f t="shared" si="3"/>
        <v>0</v>
      </c>
      <c r="M42" s="52">
        <f t="shared" si="3"/>
        <v>0</v>
      </c>
      <c r="N42" s="52">
        <f t="shared" si="3"/>
        <v>0</v>
      </c>
      <c r="O42" s="52">
        <f t="shared" si="3"/>
        <v>0</v>
      </c>
      <c r="P42" s="52">
        <f t="shared" si="3"/>
        <v>0</v>
      </c>
    </row>
    <row r="43" spans="1:16" x14ac:dyDescent="0.25">
      <c r="A43" t="str">
        <f>CONCATENATE(Tablo1[[#This Row],[BLOK]]," ",Tablo1[[#This Row],[DAİRE]])</f>
        <v>B-BLOK DAİRE 06</v>
      </c>
      <c r="B43" t="s">
        <v>100</v>
      </c>
      <c r="C43" t="s">
        <v>116</v>
      </c>
      <c r="D43">
        <v>126</v>
      </c>
      <c r="E43" s="52">
        <f t="shared" si="3"/>
        <v>0</v>
      </c>
      <c r="F43" s="52">
        <f t="shared" si="3"/>
        <v>0</v>
      </c>
      <c r="G43" s="52">
        <f t="shared" si="3"/>
        <v>0</v>
      </c>
      <c r="H43" s="52">
        <f t="shared" si="3"/>
        <v>0</v>
      </c>
      <c r="I43" s="52">
        <f t="shared" si="3"/>
        <v>0</v>
      </c>
      <c r="J43" s="52">
        <f t="shared" si="3"/>
        <v>0</v>
      </c>
      <c r="K43" s="52">
        <f t="shared" si="3"/>
        <v>0</v>
      </c>
      <c r="L43" s="52">
        <f t="shared" si="3"/>
        <v>0</v>
      </c>
      <c r="M43" s="52">
        <f t="shared" si="3"/>
        <v>0</v>
      </c>
      <c r="N43" s="52">
        <f t="shared" si="3"/>
        <v>0</v>
      </c>
      <c r="O43" s="52">
        <f t="shared" si="3"/>
        <v>0</v>
      </c>
      <c r="P43" s="52">
        <f t="shared" si="3"/>
        <v>0</v>
      </c>
    </row>
    <row r="44" spans="1:16" x14ac:dyDescent="0.25">
      <c r="A44" t="str">
        <f>CONCATENATE(Tablo1[[#This Row],[BLOK]]," ",Tablo1[[#This Row],[DAİRE]])</f>
        <v>B-BLOK DAİRE 07</v>
      </c>
      <c r="B44" t="s">
        <v>100</v>
      </c>
      <c r="C44" t="s">
        <v>118</v>
      </c>
      <c r="D44">
        <v>128</v>
      </c>
      <c r="E44" s="52">
        <f t="shared" si="3"/>
        <v>0</v>
      </c>
      <c r="F44" s="52">
        <f t="shared" si="3"/>
        <v>0</v>
      </c>
      <c r="G44" s="52">
        <f t="shared" si="3"/>
        <v>0</v>
      </c>
      <c r="H44" s="52">
        <f t="shared" si="3"/>
        <v>0</v>
      </c>
      <c r="I44" s="52">
        <f t="shared" si="3"/>
        <v>0</v>
      </c>
      <c r="J44" s="52">
        <f t="shared" si="3"/>
        <v>0</v>
      </c>
      <c r="K44" s="52">
        <f t="shared" si="3"/>
        <v>0</v>
      </c>
      <c r="L44" s="52">
        <f t="shared" si="3"/>
        <v>0</v>
      </c>
      <c r="M44" s="52">
        <f t="shared" si="3"/>
        <v>0</v>
      </c>
      <c r="N44" s="52">
        <f t="shared" si="3"/>
        <v>0</v>
      </c>
      <c r="O44" s="52">
        <f t="shared" si="3"/>
        <v>0</v>
      </c>
      <c r="P44" s="52">
        <f t="shared" si="3"/>
        <v>0</v>
      </c>
    </row>
    <row r="45" spans="1:16" x14ac:dyDescent="0.25">
      <c r="A45" t="str">
        <f>CONCATENATE(Tablo1[[#This Row],[BLOK]]," ",Tablo1[[#This Row],[DAİRE]])</f>
        <v>B-BLOK DAİRE 08</v>
      </c>
      <c r="B45" t="s">
        <v>100</v>
      </c>
      <c r="C45" t="s">
        <v>120</v>
      </c>
      <c r="D45">
        <v>128</v>
      </c>
      <c r="E45" s="52">
        <f t="shared" si="3"/>
        <v>0</v>
      </c>
      <c r="F45" s="52">
        <f t="shared" si="3"/>
        <v>0</v>
      </c>
      <c r="G45" s="52">
        <f t="shared" si="3"/>
        <v>0</v>
      </c>
      <c r="H45" s="52">
        <f t="shared" si="3"/>
        <v>0</v>
      </c>
      <c r="I45" s="52">
        <f t="shared" si="3"/>
        <v>0</v>
      </c>
      <c r="J45" s="52">
        <f t="shared" si="3"/>
        <v>0</v>
      </c>
      <c r="K45" s="52">
        <f t="shared" si="3"/>
        <v>0</v>
      </c>
      <c r="L45" s="52">
        <f t="shared" si="3"/>
        <v>0</v>
      </c>
      <c r="M45" s="52">
        <f t="shared" si="3"/>
        <v>0</v>
      </c>
      <c r="N45" s="52">
        <f t="shared" si="3"/>
        <v>0</v>
      </c>
      <c r="O45" s="52">
        <f t="shared" si="3"/>
        <v>0</v>
      </c>
      <c r="P45" s="52">
        <f t="shared" si="3"/>
        <v>0</v>
      </c>
    </row>
    <row r="46" spans="1:16" x14ac:dyDescent="0.25">
      <c r="A46" t="str">
        <f>CONCATENATE(Tablo1[[#This Row],[BLOK]]," ",Tablo1[[#This Row],[DAİRE]])</f>
        <v>B-BLOK DAİRE 09</v>
      </c>
      <c r="B46" t="s">
        <v>100</v>
      </c>
      <c r="C46" t="s">
        <v>122</v>
      </c>
      <c r="D46">
        <v>126</v>
      </c>
      <c r="E46" s="52">
        <f t="shared" si="3"/>
        <v>0</v>
      </c>
      <c r="F46" s="52">
        <f t="shared" si="3"/>
        <v>0</v>
      </c>
      <c r="G46" s="52">
        <f t="shared" si="3"/>
        <v>0</v>
      </c>
      <c r="H46" s="52">
        <f t="shared" si="3"/>
        <v>0</v>
      </c>
      <c r="I46" s="52">
        <f t="shared" si="3"/>
        <v>0</v>
      </c>
      <c r="J46" s="52">
        <f t="shared" si="3"/>
        <v>0</v>
      </c>
      <c r="K46" s="52">
        <f t="shared" si="3"/>
        <v>0</v>
      </c>
      <c r="L46" s="52">
        <f t="shared" si="3"/>
        <v>0</v>
      </c>
      <c r="M46" s="52">
        <f t="shared" si="3"/>
        <v>0</v>
      </c>
      <c r="N46" s="52">
        <f t="shared" si="3"/>
        <v>0</v>
      </c>
      <c r="O46" s="52">
        <f t="shared" si="3"/>
        <v>0</v>
      </c>
      <c r="P46" s="52">
        <f t="shared" si="3"/>
        <v>0</v>
      </c>
    </row>
    <row r="47" spans="1:16" x14ac:dyDescent="0.25">
      <c r="A47" t="str">
        <f>CONCATENATE(Tablo1[[#This Row],[BLOK]]," ",Tablo1[[#This Row],[DAİRE]])</f>
        <v>B-BLOK DAİRE 10</v>
      </c>
      <c r="B47" t="s">
        <v>100</v>
      </c>
      <c r="C47" t="s">
        <v>124</v>
      </c>
      <c r="D47">
        <v>126</v>
      </c>
      <c r="E47" s="52">
        <f t="shared" si="3"/>
        <v>0</v>
      </c>
      <c r="F47" s="52">
        <f t="shared" si="3"/>
        <v>0</v>
      </c>
      <c r="G47" s="52">
        <f t="shared" si="3"/>
        <v>0</v>
      </c>
      <c r="H47" s="52">
        <f t="shared" si="3"/>
        <v>0</v>
      </c>
      <c r="I47" s="52">
        <f t="shared" si="3"/>
        <v>0</v>
      </c>
      <c r="J47" s="52">
        <f t="shared" si="3"/>
        <v>0</v>
      </c>
      <c r="K47" s="52">
        <f t="shared" si="3"/>
        <v>0</v>
      </c>
      <c r="L47" s="52">
        <f t="shared" si="3"/>
        <v>0</v>
      </c>
      <c r="M47" s="52">
        <f t="shared" si="3"/>
        <v>0</v>
      </c>
      <c r="N47" s="52">
        <f t="shared" si="3"/>
        <v>0</v>
      </c>
      <c r="O47" s="52">
        <f t="shared" si="3"/>
        <v>0</v>
      </c>
      <c r="P47" s="52">
        <f t="shared" si="3"/>
        <v>0</v>
      </c>
    </row>
    <row r="48" spans="1:16" x14ac:dyDescent="0.25">
      <c r="A48" t="str">
        <f>CONCATENATE(Tablo1[[#This Row],[BLOK]]," ",Tablo1[[#This Row],[DAİRE]])</f>
        <v>B-BLOK DAİRE 11</v>
      </c>
      <c r="B48" t="s">
        <v>100</v>
      </c>
      <c r="C48" t="s">
        <v>126</v>
      </c>
      <c r="D48">
        <v>128</v>
      </c>
      <c r="E48" s="52">
        <f t="shared" si="3"/>
        <v>0</v>
      </c>
      <c r="F48" s="52">
        <f t="shared" si="3"/>
        <v>0</v>
      </c>
      <c r="G48" s="52">
        <f t="shared" si="3"/>
        <v>0</v>
      </c>
      <c r="H48" s="52">
        <f t="shared" si="3"/>
        <v>0</v>
      </c>
      <c r="I48" s="52">
        <f t="shared" si="3"/>
        <v>0</v>
      </c>
      <c r="J48" s="52">
        <f t="shared" si="3"/>
        <v>0</v>
      </c>
      <c r="K48" s="52">
        <f t="shared" si="3"/>
        <v>0</v>
      </c>
      <c r="L48" s="52">
        <f t="shared" si="3"/>
        <v>0</v>
      </c>
      <c r="M48" s="52">
        <f t="shared" si="3"/>
        <v>0</v>
      </c>
      <c r="N48" s="52">
        <f t="shared" si="3"/>
        <v>0</v>
      </c>
      <c r="O48" s="52">
        <f t="shared" si="3"/>
        <v>0</v>
      </c>
      <c r="P48" s="52">
        <f t="shared" si="3"/>
        <v>0</v>
      </c>
    </row>
    <row r="49" spans="1:16" x14ac:dyDescent="0.25">
      <c r="A49" t="str">
        <f>CONCATENATE(Tablo1[[#This Row],[BLOK]]," ",Tablo1[[#This Row],[DAİRE]])</f>
        <v>B-BLOK DAİRE 12</v>
      </c>
      <c r="B49" t="s">
        <v>100</v>
      </c>
      <c r="C49" t="s">
        <v>128</v>
      </c>
      <c r="D49">
        <v>128</v>
      </c>
      <c r="E49" s="52">
        <f t="shared" si="3"/>
        <v>0</v>
      </c>
      <c r="F49" s="52">
        <f t="shared" si="3"/>
        <v>0</v>
      </c>
      <c r="G49" s="52">
        <f t="shared" si="3"/>
        <v>0</v>
      </c>
      <c r="H49" s="52">
        <f t="shared" si="3"/>
        <v>0</v>
      </c>
      <c r="I49" s="52">
        <f t="shared" si="3"/>
        <v>0</v>
      </c>
      <c r="J49" s="52">
        <f t="shared" si="3"/>
        <v>0</v>
      </c>
      <c r="K49" s="52">
        <f t="shared" ref="E49:P70" si="4">ROUNDUP(K$4*$D49,1)</f>
        <v>0</v>
      </c>
      <c r="L49" s="52">
        <f t="shared" si="4"/>
        <v>0</v>
      </c>
      <c r="M49" s="52">
        <f t="shared" si="4"/>
        <v>0</v>
      </c>
      <c r="N49" s="52">
        <f t="shared" si="4"/>
        <v>0</v>
      </c>
      <c r="O49" s="52">
        <f t="shared" si="4"/>
        <v>0</v>
      </c>
      <c r="P49" s="52">
        <f t="shared" si="4"/>
        <v>0</v>
      </c>
    </row>
    <row r="50" spans="1:16" x14ac:dyDescent="0.25">
      <c r="A50" t="str">
        <f>CONCATENATE(Tablo1[[#This Row],[BLOK]]," ",Tablo1[[#This Row],[DAİRE]])</f>
        <v>B-BLOK DAİRE 13</v>
      </c>
      <c r="B50" t="s">
        <v>100</v>
      </c>
      <c r="C50" t="s">
        <v>130</v>
      </c>
      <c r="D50">
        <v>126</v>
      </c>
      <c r="E50" s="52">
        <f t="shared" si="4"/>
        <v>0</v>
      </c>
      <c r="F50" s="52">
        <f t="shared" si="4"/>
        <v>0</v>
      </c>
      <c r="G50" s="52">
        <f t="shared" si="4"/>
        <v>0</v>
      </c>
      <c r="H50" s="52">
        <f t="shared" si="4"/>
        <v>0</v>
      </c>
      <c r="I50" s="52">
        <f t="shared" si="4"/>
        <v>0</v>
      </c>
      <c r="J50" s="52">
        <f t="shared" si="4"/>
        <v>0</v>
      </c>
      <c r="K50" s="52">
        <f t="shared" si="4"/>
        <v>0</v>
      </c>
      <c r="L50" s="52">
        <f t="shared" si="4"/>
        <v>0</v>
      </c>
      <c r="M50" s="52">
        <f t="shared" si="4"/>
        <v>0</v>
      </c>
      <c r="N50" s="52">
        <f t="shared" si="4"/>
        <v>0</v>
      </c>
      <c r="O50" s="52">
        <f t="shared" si="4"/>
        <v>0</v>
      </c>
      <c r="P50" s="52">
        <f t="shared" si="4"/>
        <v>0</v>
      </c>
    </row>
    <row r="51" spans="1:16" x14ac:dyDescent="0.25">
      <c r="A51" t="str">
        <f>CONCATENATE(Tablo1[[#This Row],[BLOK]]," ",Tablo1[[#This Row],[DAİRE]])</f>
        <v>B-BLOK DAİRE 14</v>
      </c>
      <c r="B51" t="s">
        <v>100</v>
      </c>
      <c r="C51" t="s">
        <v>132</v>
      </c>
      <c r="D51">
        <v>126</v>
      </c>
      <c r="E51" s="52">
        <f t="shared" si="4"/>
        <v>0</v>
      </c>
      <c r="F51" s="52">
        <f t="shared" si="4"/>
        <v>0</v>
      </c>
      <c r="G51" s="52">
        <f t="shared" si="4"/>
        <v>0</v>
      </c>
      <c r="H51" s="52">
        <f t="shared" si="4"/>
        <v>0</v>
      </c>
      <c r="I51" s="52">
        <f t="shared" si="4"/>
        <v>0</v>
      </c>
      <c r="J51" s="52">
        <f t="shared" si="4"/>
        <v>0</v>
      </c>
      <c r="K51" s="52">
        <f t="shared" si="4"/>
        <v>0</v>
      </c>
      <c r="L51" s="52">
        <f t="shared" si="4"/>
        <v>0</v>
      </c>
      <c r="M51" s="52">
        <f t="shared" si="4"/>
        <v>0</v>
      </c>
      <c r="N51" s="52">
        <f t="shared" si="4"/>
        <v>0</v>
      </c>
      <c r="O51" s="52">
        <f t="shared" si="4"/>
        <v>0</v>
      </c>
      <c r="P51" s="52">
        <f t="shared" si="4"/>
        <v>0</v>
      </c>
    </row>
    <row r="52" spans="1:16" x14ac:dyDescent="0.25">
      <c r="A52" t="str">
        <f>CONCATENATE(Tablo1[[#This Row],[BLOK]]," ",Tablo1[[#This Row],[DAİRE]])</f>
        <v>B-BLOK DAİRE 15</v>
      </c>
      <c r="B52" t="s">
        <v>100</v>
      </c>
      <c r="C52" t="s">
        <v>134</v>
      </c>
      <c r="D52">
        <v>128</v>
      </c>
      <c r="E52" s="52">
        <f t="shared" si="4"/>
        <v>0</v>
      </c>
      <c r="F52" s="52">
        <f t="shared" si="4"/>
        <v>0</v>
      </c>
      <c r="G52" s="52">
        <f t="shared" si="4"/>
        <v>0</v>
      </c>
      <c r="H52" s="52">
        <f t="shared" si="4"/>
        <v>0</v>
      </c>
      <c r="I52" s="52">
        <f t="shared" si="4"/>
        <v>0</v>
      </c>
      <c r="J52" s="52">
        <f t="shared" si="4"/>
        <v>0</v>
      </c>
      <c r="K52" s="52">
        <f t="shared" si="4"/>
        <v>0</v>
      </c>
      <c r="L52" s="52">
        <f t="shared" si="4"/>
        <v>0</v>
      </c>
      <c r="M52" s="52">
        <f t="shared" si="4"/>
        <v>0</v>
      </c>
      <c r="N52" s="52">
        <f t="shared" si="4"/>
        <v>0</v>
      </c>
      <c r="O52" s="52">
        <f t="shared" si="4"/>
        <v>0</v>
      </c>
      <c r="P52" s="52">
        <f t="shared" si="4"/>
        <v>0</v>
      </c>
    </row>
    <row r="53" spans="1:16" x14ac:dyDescent="0.25">
      <c r="A53" t="str">
        <f>CONCATENATE(Tablo1[[#This Row],[BLOK]]," ",Tablo1[[#This Row],[DAİRE]])</f>
        <v>B-BLOK DAİRE 16</v>
      </c>
      <c r="B53" t="s">
        <v>100</v>
      </c>
      <c r="C53" t="s">
        <v>136</v>
      </c>
      <c r="D53">
        <v>128</v>
      </c>
      <c r="E53" s="52">
        <f t="shared" si="4"/>
        <v>0</v>
      </c>
      <c r="F53" s="52">
        <f t="shared" si="4"/>
        <v>0</v>
      </c>
      <c r="G53" s="52">
        <f t="shared" si="4"/>
        <v>0</v>
      </c>
      <c r="H53" s="52">
        <f t="shared" si="4"/>
        <v>0</v>
      </c>
      <c r="I53" s="52">
        <f t="shared" si="4"/>
        <v>0</v>
      </c>
      <c r="J53" s="52">
        <f t="shared" si="4"/>
        <v>0</v>
      </c>
      <c r="K53" s="52">
        <f t="shared" si="4"/>
        <v>0</v>
      </c>
      <c r="L53" s="52">
        <f t="shared" si="4"/>
        <v>0</v>
      </c>
      <c r="M53" s="52">
        <f t="shared" si="4"/>
        <v>0</v>
      </c>
      <c r="N53" s="52">
        <f t="shared" si="4"/>
        <v>0</v>
      </c>
      <c r="O53" s="52">
        <f t="shared" si="4"/>
        <v>0</v>
      </c>
      <c r="P53" s="52">
        <f t="shared" si="4"/>
        <v>0</v>
      </c>
    </row>
    <row r="54" spans="1:16" x14ac:dyDescent="0.25">
      <c r="A54" t="str">
        <f>CONCATENATE(Tablo1[[#This Row],[BLOK]]," ",Tablo1[[#This Row],[DAİRE]])</f>
        <v>B-BLOK DAİRE 17</v>
      </c>
      <c r="B54" t="s">
        <v>100</v>
      </c>
      <c r="C54" t="s">
        <v>138</v>
      </c>
      <c r="D54">
        <v>126</v>
      </c>
      <c r="E54" s="52">
        <f t="shared" si="4"/>
        <v>0</v>
      </c>
      <c r="F54" s="52">
        <f t="shared" si="4"/>
        <v>0</v>
      </c>
      <c r="G54" s="52">
        <f t="shared" si="4"/>
        <v>0</v>
      </c>
      <c r="H54" s="52">
        <f t="shared" si="4"/>
        <v>0</v>
      </c>
      <c r="I54" s="52">
        <f t="shared" si="4"/>
        <v>0</v>
      </c>
      <c r="J54" s="52">
        <f t="shared" si="4"/>
        <v>0</v>
      </c>
      <c r="K54" s="52">
        <f t="shared" si="4"/>
        <v>0</v>
      </c>
      <c r="L54" s="52">
        <f t="shared" si="4"/>
        <v>0</v>
      </c>
      <c r="M54" s="52">
        <f t="shared" si="4"/>
        <v>0</v>
      </c>
      <c r="N54" s="52">
        <f t="shared" si="4"/>
        <v>0</v>
      </c>
      <c r="O54" s="52">
        <f t="shared" si="4"/>
        <v>0</v>
      </c>
      <c r="P54" s="52">
        <f t="shared" si="4"/>
        <v>0</v>
      </c>
    </row>
    <row r="55" spans="1:16" x14ac:dyDescent="0.25">
      <c r="A55" t="str">
        <f>CONCATENATE(Tablo1[[#This Row],[BLOK]]," ",Tablo1[[#This Row],[DAİRE]])</f>
        <v>B-BLOK DAİRE 18</v>
      </c>
      <c r="B55" t="s">
        <v>100</v>
      </c>
      <c r="C55" t="s">
        <v>140</v>
      </c>
      <c r="D55">
        <v>126</v>
      </c>
      <c r="E55" s="52">
        <f t="shared" si="4"/>
        <v>0</v>
      </c>
      <c r="F55" s="52">
        <f t="shared" si="4"/>
        <v>0</v>
      </c>
      <c r="G55" s="52">
        <f t="shared" si="4"/>
        <v>0</v>
      </c>
      <c r="H55" s="52">
        <f t="shared" si="4"/>
        <v>0</v>
      </c>
      <c r="I55" s="52">
        <f t="shared" si="4"/>
        <v>0</v>
      </c>
      <c r="J55" s="52">
        <f t="shared" si="4"/>
        <v>0</v>
      </c>
      <c r="K55" s="52">
        <f t="shared" si="4"/>
        <v>0</v>
      </c>
      <c r="L55" s="52">
        <f t="shared" si="4"/>
        <v>0</v>
      </c>
      <c r="M55" s="52">
        <f t="shared" si="4"/>
        <v>0</v>
      </c>
      <c r="N55" s="52">
        <f t="shared" si="4"/>
        <v>0</v>
      </c>
      <c r="O55" s="52">
        <f t="shared" si="4"/>
        <v>0</v>
      </c>
      <c r="P55" s="52">
        <f t="shared" si="4"/>
        <v>0</v>
      </c>
    </row>
    <row r="56" spans="1:16" x14ac:dyDescent="0.25">
      <c r="A56" t="str">
        <f>CONCATENATE(Tablo1[[#This Row],[BLOK]]," ",Tablo1[[#This Row],[DAİRE]])</f>
        <v>B-BLOK DAİRE 19</v>
      </c>
      <c r="B56" t="s">
        <v>100</v>
      </c>
      <c r="C56" t="s">
        <v>142</v>
      </c>
      <c r="D56">
        <v>128</v>
      </c>
      <c r="E56" s="52">
        <f t="shared" si="4"/>
        <v>0</v>
      </c>
      <c r="F56" s="52">
        <f t="shared" si="4"/>
        <v>0</v>
      </c>
      <c r="G56" s="52">
        <f t="shared" si="4"/>
        <v>0</v>
      </c>
      <c r="H56" s="52">
        <f t="shared" si="4"/>
        <v>0</v>
      </c>
      <c r="I56" s="52">
        <f t="shared" si="4"/>
        <v>0</v>
      </c>
      <c r="J56" s="52">
        <f t="shared" si="4"/>
        <v>0</v>
      </c>
      <c r="K56" s="52">
        <f t="shared" si="4"/>
        <v>0</v>
      </c>
      <c r="L56" s="52">
        <f t="shared" si="4"/>
        <v>0</v>
      </c>
      <c r="M56" s="52">
        <f t="shared" si="4"/>
        <v>0</v>
      </c>
      <c r="N56" s="52">
        <f t="shared" si="4"/>
        <v>0</v>
      </c>
      <c r="O56" s="52">
        <f t="shared" si="4"/>
        <v>0</v>
      </c>
      <c r="P56" s="52">
        <f t="shared" si="4"/>
        <v>0</v>
      </c>
    </row>
    <row r="57" spans="1:16" x14ac:dyDescent="0.25">
      <c r="A57" t="str">
        <f>CONCATENATE(Tablo1[[#This Row],[BLOK]]," ",Tablo1[[#This Row],[DAİRE]])</f>
        <v>B-BLOK DAİRE 20</v>
      </c>
      <c r="B57" t="s">
        <v>100</v>
      </c>
      <c r="C57" t="s">
        <v>144</v>
      </c>
      <c r="D57">
        <v>128</v>
      </c>
      <c r="E57" s="52">
        <f t="shared" si="4"/>
        <v>0</v>
      </c>
      <c r="F57" s="52">
        <f t="shared" si="4"/>
        <v>0</v>
      </c>
      <c r="G57" s="52">
        <f t="shared" si="4"/>
        <v>0</v>
      </c>
      <c r="H57" s="52">
        <f t="shared" si="4"/>
        <v>0</v>
      </c>
      <c r="I57" s="52">
        <f t="shared" si="4"/>
        <v>0</v>
      </c>
      <c r="J57" s="52">
        <f t="shared" si="4"/>
        <v>0</v>
      </c>
      <c r="K57" s="52">
        <f t="shared" si="4"/>
        <v>0</v>
      </c>
      <c r="L57" s="52">
        <f t="shared" si="4"/>
        <v>0</v>
      </c>
      <c r="M57" s="52">
        <f t="shared" si="4"/>
        <v>0</v>
      </c>
      <c r="N57" s="52">
        <f t="shared" si="4"/>
        <v>0</v>
      </c>
      <c r="O57" s="52">
        <f t="shared" si="4"/>
        <v>0</v>
      </c>
      <c r="P57" s="52">
        <f t="shared" si="4"/>
        <v>0</v>
      </c>
    </row>
    <row r="58" spans="1:16" x14ac:dyDescent="0.25">
      <c r="A58" t="str">
        <f>CONCATENATE(Tablo1[[#This Row],[BLOK]]," ",Tablo1[[#This Row],[DAİRE]])</f>
        <v>B-BLOK DAİRE 21</v>
      </c>
      <c r="B58" t="s">
        <v>100</v>
      </c>
      <c r="C58" t="s">
        <v>146</v>
      </c>
      <c r="D58">
        <v>126</v>
      </c>
      <c r="E58" s="52">
        <f t="shared" si="4"/>
        <v>0</v>
      </c>
      <c r="F58" s="52">
        <f t="shared" si="4"/>
        <v>0</v>
      </c>
      <c r="G58" s="52">
        <f t="shared" si="4"/>
        <v>0</v>
      </c>
      <c r="H58" s="52">
        <f t="shared" si="4"/>
        <v>0</v>
      </c>
      <c r="I58" s="52">
        <f t="shared" si="4"/>
        <v>0</v>
      </c>
      <c r="J58" s="52">
        <f t="shared" si="4"/>
        <v>0</v>
      </c>
      <c r="K58" s="52">
        <f t="shared" si="4"/>
        <v>0</v>
      </c>
      <c r="L58" s="52">
        <f t="shared" si="4"/>
        <v>0</v>
      </c>
      <c r="M58" s="52">
        <f t="shared" si="4"/>
        <v>0</v>
      </c>
      <c r="N58" s="52">
        <f t="shared" si="4"/>
        <v>0</v>
      </c>
      <c r="O58" s="52">
        <f t="shared" si="4"/>
        <v>0</v>
      </c>
      <c r="P58" s="52">
        <f t="shared" si="4"/>
        <v>0</v>
      </c>
    </row>
    <row r="59" spans="1:16" x14ac:dyDescent="0.25">
      <c r="A59" t="str">
        <f>CONCATENATE(Tablo1[[#This Row],[BLOK]]," ",Tablo1[[#This Row],[DAİRE]])</f>
        <v>B-BLOK DAİRE 22</v>
      </c>
      <c r="B59" t="s">
        <v>100</v>
      </c>
      <c r="C59" t="s">
        <v>148</v>
      </c>
      <c r="D59">
        <v>126</v>
      </c>
      <c r="E59" s="52">
        <f t="shared" si="4"/>
        <v>0</v>
      </c>
      <c r="F59" s="52">
        <f t="shared" si="4"/>
        <v>0</v>
      </c>
      <c r="G59" s="52">
        <f t="shared" si="4"/>
        <v>0</v>
      </c>
      <c r="H59" s="52">
        <f t="shared" si="4"/>
        <v>0</v>
      </c>
      <c r="I59" s="52">
        <f t="shared" si="4"/>
        <v>0</v>
      </c>
      <c r="J59" s="52">
        <f t="shared" si="4"/>
        <v>0</v>
      </c>
      <c r="K59" s="52">
        <f t="shared" si="4"/>
        <v>0</v>
      </c>
      <c r="L59" s="52">
        <f t="shared" si="4"/>
        <v>0</v>
      </c>
      <c r="M59" s="52">
        <f t="shared" si="4"/>
        <v>0</v>
      </c>
      <c r="N59" s="52">
        <f t="shared" si="4"/>
        <v>0</v>
      </c>
      <c r="O59" s="52">
        <f t="shared" si="4"/>
        <v>0</v>
      </c>
      <c r="P59" s="52">
        <f t="shared" si="4"/>
        <v>0</v>
      </c>
    </row>
    <row r="60" spans="1:16" x14ac:dyDescent="0.25">
      <c r="A60" t="str">
        <f>CONCATENATE(Tablo1[[#This Row],[BLOK]]," ",Tablo1[[#This Row],[DAİRE]])</f>
        <v>B-BLOK DAİRE 23</v>
      </c>
      <c r="B60" t="s">
        <v>100</v>
      </c>
      <c r="C60" t="s">
        <v>150</v>
      </c>
      <c r="D60">
        <v>128</v>
      </c>
      <c r="E60" s="52">
        <f t="shared" si="4"/>
        <v>0</v>
      </c>
      <c r="F60" s="52">
        <f t="shared" si="4"/>
        <v>0</v>
      </c>
      <c r="G60" s="52">
        <f t="shared" si="4"/>
        <v>0</v>
      </c>
      <c r="H60" s="52">
        <f t="shared" si="4"/>
        <v>0</v>
      </c>
      <c r="I60" s="52">
        <f t="shared" si="4"/>
        <v>0</v>
      </c>
      <c r="J60" s="52">
        <f t="shared" si="4"/>
        <v>0</v>
      </c>
      <c r="K60" s="52">
        <f t="shared" si="4"/>
        <v>0</v>
      </c>
      <c r="L60" s="52">
        <f t="shared" si="4"/>
        <v>0</v>
      </c>
      <c r="M60" s="52">
        <f t="shared" si="4"/>
        <v>0</v>
      </c>
      <c r="N60" s="52">
        <f t="shared" si="4"/>
        <v>0</v>
      </c>
      <c r="O60" s="52">
        <f t="shared" si="4"/>
        <v>0</v>
      </c>
      <c r="P60" s="52">
        <f t="shared" si="4"/>
        <v>0</v>
      </c>
    </row>
    <row r="61" spans="1:16" x14ac:dyDescent="0.25">
      <c r="A61" t="str">
        <f>CONCATENATE(Tablo1[[#This Row],[BLOK]]," ",Tablo1[[#This Row],[DAİRE]])</f>
        <v>B-BLOK DAİRE 24</v>
      </c>
      <c r="B61" t="s">
        <v>100</v>
      </c>
      <c r="C61" t="s">
        <v>152</v>
      </c>
      <c r="D61">
        <v>128</v>
      </c>
      <c r="E61" s="52">
        <f t="shared" si="4"/>
        <v>0</v>
      </c>
      <c r="F61" s="52">
        <f t="shared" si="4"/>
        <v>0</v>
      </c>
      <c r="G61" s="52">
        <f t="shared" si="4"/>
        <v>0</v>
      </c>
      <c r="H61" s="52">
        <f t="shared" si="4"/>
        <v>0</v>
      </c>
      <c r="I61" s="52">
        <f t="shared" si="4"/>
        <v>0</v>
      </c>
      <c r="J61" s="52">
        <f t="shared" si="4"/>
        <v>0</v>
      </c>
      <c r="K61" s="52">
        <f t="shared" si="4"/>
        <v>0</v>
      </c>
      <c r="L61" s="52">
        <f t="shared" si="4"/>
        <v>0</v>
      </c>
      <c r="M61" s="52">
        <f t="shared" si="4"/>
        <v>0</v>
      </c>
      <c r="N61" s="52">
        <f t="shared" si="4"/>
        <v>0</v>
      </c>
      <c r="O61" s="52">
        <f t="shared" si="4"/>
        <v>0</v>
      </c>
      <c r="P61" s="52">
        <f t="shared" si="4"/>
        <v>0</v>
      </c>
    </row>
    <row r="62" spans="1:16" x14ac:dyDescent="0.25">
      <c r="A62" t="str">
        <f>CONCATENATE(Tablo1[[#This Row],[BLOK]]," ",Tablo1[[#This Row],[DAİRE]])</f>
        <v>B-BLOK DAİRE 25</v>
      </c>
      <c r="B62" t="s">
        <v>100</v>
      </c>
      <c r="C62" t="s">
        <v>154</v>
      </c>
      <c r="D62">
        <v>126</v>
      </c>
      <c r="E62" s="52">
        <f t="shared" si="4"/>
        <v>0</v>
      </c>
      <c r="F62" s="52">
        <f t="shared" si="4"/>
        <v>0</v>
      </c>
      <c r="G62" s="52">
        <f t="shared" si="4"/>
        <v>0</v>
      </c>
      <c r="H62" s="52">
        <f t="shared" si="4"/>
        <v>0</v>
      </c>
      <c r="I62" s="52">
        <f t="shared" si="4"/>
        <v>0</v>
      </c>
      <c r="J62" s="52">
        <f t="shared" si="4"/>
        <v>0</v>
      </c>
      <c r="K62" s="52">
        <f t="shared" si="4"/>
        <v>0</v>
      </c>
      <c r="L62" s="52">
        <f t="shared" si="4"/>
        <v>0</v>
      </c>
      <c r="M62" s="52">
        <f t="shared" si="4"/>
        <v>0</v>
      </c>
      <c r="N62" s="52">
        <f t="shared" si="4"/>
        <v>0</v>
      </c>
      <c r="O62" s="52">
        <f t="shared" si="4"/>
        <v>0</v>
      </c>
      <c r="P62" s="52">
        <f t="shared" si="4"/>
        <v>0</v>
      </c>
    </row>
    <row r="63" spans="1:16" x14ac:dyDescent="0.25">
      <c r="A63" t="str">
        <f>CONCATENATE(Tablo1[[#This Row],[BLOK]]," ",Tablo1[[#This Row],[DAİRE]])</f>
        <v>B-BLOK DAİRE 26</v>
      </c>
      <c r="B63" t="s">
        <v>100</v>
      </c>
      <c r="C63" t="s">
        <v>155</v>
      </c>
      <c r="D63">
        <v>126</v>
      </c>
      <c r="E63" s="52">
        <f t="shared" si="4"/>
        <v>0</v>
      </c>
      <c r="F63" s="52">
        <f t="shared" si="4"/>
        <v>0</v>
      </c>
      <c r="G63" s="52">
        <f t="shared" si="4"/>
        <v>0</v>
      </c>
      <c r="H63" s="52">
        <f t="shared" si="4"/>
        <v>0</v>
      </c>
      <c r="I63" s="52">
        <f t="shared" si="4"/>
        <v>0</v>
      </c>
      <c r="J63" s="52">
        <f t="shared" si="4"/>
        <v>0</v>
      </c>
      <c r="K63" s="52">
        <f t="shared" si="4"/>
        <v>0</v>
      </c>
      <c r="L63" s="52">
        <f t="shared" si="4"/>
        <v>0</v>
      </c>
      <c r="M63" s="52">
        <f t="shared" si="4"/>
        <v>0</v>
      </c>
      <c r="N63" s="52">
        <f t="shared" si="4"/>
        <v>0</v>
      </c>
      <c r="O63" s="52">
        <f t="shared" si="4"/>
        <v>0</v>
      </c>
      <c r="P63" s="52">
        <f t="shared" si="4"/>
        <v>0</v>
      </c>
    </row>
    <row r="64" spans="1:16" x14ac:dyDescent="0.25">
      <c r="A64" t="str">
        <f>CONCATENATE(Tablo1[[#This Row],[BLOK]]," ",Tablo1[[#This Row],[DAİRE]])</f>
        <v>B-BLOK DAİRE 27</v>
      </c>
      <c r="B64" t="s">
        <v>100</v>
      </c>
      <c r="C64" t="s">
        <v>156</v>
      </c>
      <c r="D64">
        <v>128</v>
      </c>
      <c r="E64" s="52">
        <f t="shared" si="4"/>
        <v>0</v>
      </c>
      <c r="F64" s="52">
        <f t="shared" si="4"/>
        <v>0</v>
      </c>
      <c r="G64" s="52">
        <f t="shared" si="4"/>
        <v>0</v>
      </c>
      <c r="H64" s="52">
        <f t="shared" si="4"/>
        <v>0</v>
      </c>
      <c r="I64" s="52">
        <f t="shared" si="4"/>
        <v>0</v>
      </c>
      <c r="J64" s="52">
        <f t="shared" si="4"/>
        <v>0</v>
      </c>
      <c r="K64" s="52">
        <f t="shared" si="4"/>
        <v>0</v>
      </c>
      <c r="L64" s="52">
        <f t="shared" si="4"/>
        <v>0</v>
      </c>
      <c r="M64" s="52">
        <f t="shared" si="4"/>
        <v>0</v>
      </c>
      <c r="N64" s="52">
        <f t="shared" si="4"/>
        <v>0</v>
      </c>
      <c r="O64" s="52">
        <f t="shared" si="4"/>
        <v>0</v>
      </c>
      <c r="P64" s="52">
        <f t="shared" si="4"/>
        <v>0</v>
      </c>
    </row>
    <row r="65" spans="1:16" x14ac:dyDescent="0.25">
      <c r="A65" t="str">
        <f>CONCATENATE(Tablo1[[#This Row],[BLOK]]," ",Tablo1[[#This Row],[DAİRE]])</f>
        <v>B-BLOK DAİRE 28</v>
      </c>
      <c r="B65" t="s">
        <v>100</v>
      </c>
      <c r="C65" t="s">
        <v>158</v>
      </c>
      <c r="D65">
        <v>128</v>
      </c>
      <c r="E65" s="52">
        <f t="shared" si="4"/>
        <v>0</v>
      </c>
      <c r="F65" s="52">
        <f t="shared" si="4"/>
        <v>0</v>
      </c>
      <c r="G65" s="52">
        <f t="shared" si="4"/>
        <v>0</v>
      </c>
      <c r="H65" s="52">
        <f t="shared" si="4"/>
        <v>0</v>
      </c>
      <c r="I65" s="52">
        <f t="shared" si="4"/>
        <v>0</v>
      </c>
      <c r="J65" s="52">
        <f t="shared" si="4"/>
        <v>0</v>
      </c>
      <c r="K65" s="52">
        <f t="shared" si="4"/>
        <v>0</v>
      </c>
      <c r="L65" s="52">
        <f t="shared" si="4"/>
        <v>0</v>
      </c>
      <c r="M65" s="52">
        <f t="shared" si="4"/>
        <v>0</v>
      </c>
      <c r="N65" s="52">
        <f t="shared" si="4"/>
        <v>0</v>
      </c>
      <c r="O65" s="52">
        <f t="shared" si="4"/>
        <v>0</v>
      </c>
      <c r="P65" s="52">
        <f t="shared" si="4"/>
        <v>0</v>
      </c>
    </row>
    <row r="66" spans="1:16" x14ac:dyDescent="0.25">
      <c r="A66" t="str">
        <f>CONCATENATE(Tablo1[[#This Row],[BLOK]]," ",Tablo1[[#This Row],[DAİRE]])</f>
        <v>B-BLOK DAİRE 29</v>
      </c>
      <c r="B66" t="s">
        <v>100</v>
      </c>
      <c r="C66" t="s">
        <v>159</v>
      </c>
      <c r="D66">
        <v>126</v>
      </c>
      <c r="E66" s="52">
        <f t="shared" si="4"/>
        <v>0</v>
      </c>
      <c r="F66" s="52">
        <f t="shared" si="4"/>
        <v>0</v>
      </c>
      <c r="G66" s="52">
        <f t="shared" si="4"/>
        <v>0</v>
      </c>
      <c r="H66" s="52">
        <f t="shared" si="4"/>
        <v>0</v>
      </c>
      <c r="I66" s="52">
        <f t="shared" si="4"/>
        <v>0</v>
      </c>
      <c r="J66" s="52">
        <f t="shared" si="4"/>
        <v>0</v>
      </c>
      <c r="K66" s="52">
        <f t="shared" si="4"/>
        <v>0</v>
      </c>
      <c r="L66" s="52">
        <f t="shared" si="4"/>
        <v>0</v>
      </c>
      <c r="M66" s="52">
        <f t="shared" si="4"/>
        <v>0</v>
      </c>
      <c r="N66" s="52">
        <f t="shared" si="4"/>
        <v>0</v>
      </c>
      <c r="O66" s="52">
        <f t="shared" si="4"/>
        <v>0</v>
      </c>
      <c r="P66" s="52">
        <f t="shared" si="4"/>
        <v>0</v>
      </c>
    </row>
    <row r="67" spans="1:16" x14ac:dyDescent="0.25">
      <c r="A67" t="str">
        <f>CONCATENATE(Tablo1[[#This Row],[BLOK]]," ",Tablo1[[#This Row],[DAİRE]])</f>
        <v>B-BLOK DAİRE 30</v>
      </c>
      <c r="B67" t="s">
        <v>100</v>
      </c>
      <c r="C67" t="s">
        <v>160</v>
      </c>
      <c r="D67">
        <v>126</v>
      </c>
      <c r="E67" s="52">
        <f t="shared" si="4"/>
        <v>0</v>
      </c>
      <c r="F67" s="52">
        <f t="shared" si="4"/>
        <v>0</v>
      </c>
      <c r="G67" s="52">
        <f t="shared" si="4"/>
        <v>0</v>
      </c>
      <c r="H67" s="52">
        <f t="shared" si="4"/>
        <v>0</v>
      </c>
      <c r="I67" s="52">
        <f t="shared" si="4"/>
        <v>0</v>
      </c>
      <c r="J67" s="52">
        <f t="shared" si="4"/>
        <v>0</v>
      </c>
      <c r="K67" s="52">
        <f t="shared" si="4"/>
        <v>0</v>
      </c>
      <c r="L67" s="52">
        <f t="shared" si="4"/>
        <v>0</v>
      </c>
      <c r="M67" s="52">
        <f t="shared" si="4"/>
        <v>0</v>
      </c>
      <c r="N67" s="52">
        <f t="shared" si="4"/>
        <v>0</v>
      </c>
      <c r="O67" s="52">
        <f t="shared" si="4"/>
        <v>0</v>
      </c>
      <c r="P67" s="52">
        <f t="shared" si="4"/>
        <v>0</v>
      </c>
    </row>
    <row r="68" spans="1:16" x14ac:dyDescent="0.25">
      <c r="A68" t="str">
        <f>CONCATENATE(Tablo1[[#This Row],[BLOK]]," ",Tablo1[[#This Row],[DAİRE]])</f>
        <v>B-BLOK DAİRE 31</v>
      </c>
      <c r="B68" t="s">
        <v>100</v>
      </c>
      <c r="C68" t="s">
        <v>162</v>
      </c>
      <c r="D68">
        <v>128</v>
      </c>
      <c r="E68" s="52">
        <f t="shared" si="4"/>
        <v>0</v>
      </c>
      <c r="F68" s="52">
        <f t="shared" si="4"/>
        <v>0</v>
      </c>
      <c r="G68" s="52">
        <f t="shared" si="4"/>
        <v>0</v>
      </c>
      <c r="H68" s="52">
        <f t="shared" si="4"/>
        <v>0</v>
      </c>
      <c r="I68" s="52">
        <f t="shared" si="4"/>
        <v>0</v>
      </c>
      <c r="J68" s="52">
        <f t="shared" si="4"/>
        <v>0</v>
      </c>
      <c r="K68" s="52">
        <f t="shared" si="4"/>
        <v>0</v>
      </c>
      <c r="L68" s="52">
        <f t="shared" si="4"/>
        <v>0</v>
      </c>
      <c r="M68" s="52">
        <f t="shared" si="4"/>
        <v>0</v>
      </c>
      <c r="N68" s="52">
        <f t="shared" si="4"/>
        <v>0</v>
      </c>
      <c r="O68" s="52">
        <f t="shared" si="4"/>
        <v>0</v>
      </c>
      <c r="P68" s="52">
        <f t="shared" si="4"/>
        <v>0</v>
      </c>
    </row>
    <row r="69" spans="1:16" x14ac:dyDescent="0.25">
      <c r="A69" t="str">
        <f>CONCATENATE(Tablo1[[#This Row],[BLOK]]," ",Tablo1[[#This Row],[DAİRE]])</f>
        <v>B-BLOK DAİRE 32</v>
      </c>
      <c r="B69" t="s">
        <v>100</v>
      </c>
      <c r="C69" t="s">
        <v>164</v>
      </c>
      <c r="D69">
        <v>128</v>
      </c>
      <c r="E69" s="52">
        <f t="shared" si="4"/>
        <v>0</v>
      </c>
      <c r="F69" s="52">
        <f t="shared" si="4"/>
        <v>0</v>
      </c>
      <c r="G69" s="52">
        <f t="shared" si="4"/>
        <v>0</v>
      </c>
      <c r="H69" s="52">
        <f t="shared" si="4"/>
        <v>0</v>
      </c>
      <c r="I69" s="52">
        <f t="shared" si="4"/>
        <v>0</v>
      </c>
      <c r="J69" s="52">
        <f t="shared" si="4"/>
        <v>0</v>
      </c>
      <c r="K69" s="52">
        <f t="shared" si="4"/>
        <v>0</v>
      </c>
      <c r="L69" s="52">
        <f t="shared" si="4"/>
        <v>0</v>
      </c>
      <c r="M69" s="52">
        <f t="shared" si="4"/>
        <v>0</v>
      </c>
      <c r="N69" s="52">
        <f t="shared" si="4"/>
        <v>0</v>
      </c>
      <c r="O69" s="52">
        <f t="shared" si="4"/>
        <v>0</v>
      </c>
      <c r="P69" s="52">
        <f t="shared" si="4"/>
        <v>0</v>
      </c>
    </row>
    <row r="70" spans="1:16" x14ac:dyDescent="0.25">
      <c r="A70" t="str">
        <f>CONCATENATE(Tablo1[[#This Row],[BLOK]]," ",Tablo1[[#This Row],[DAİRE]])</f>
        <v>C-BLOK DÜKKAN 01</v>
      </c>
      <c r="B70" t="s">
        <v>102</v>
      </c>
      <c r="C70" t="s">
        <v>103</v>
      </c>
      <c r="D70">
        <v>90</v>
      </c>
      <c r="E70" s="52">
        <f t="shared" si="4"/>
        <v>0</v>
      </c>
      <c r="F70" s="52">
        <f t="shared" si="4"/>
        <v>0</v>
      </c>
      <c r="G70" s="52">
        <f t="shared" si="4"/>
        <v>0</v>
      </c>
      <c r="H70" s="52">
        <f t="shared" si="4"/>
        <v>0</v>
      </c>
      <c r="I70" s="52">
        <f t="shared" si="4"/>
        <v>0</v>
      </c>
      <c r="J70" s="52">
        <f t="shared" si="4"/>
        <v>0</v>
      </c>
      <c r="K70" s="52">
        <f t="shared" si="4"/>
        <v>0</v>
      </c>
      <c r="L70" s="52">
        <f t="shared" si="4"/>
        <v>0</v>
      </c>
      <c r="M70" s="52">
        <f t="shared" si="4"/>
        <v>0</v>
      </c>
      <c r="N70" s="52">
        <f t="shared" ref="E70:P91" si="5">ROUNDUP(N$4*$D70,1)</f>
        <v>0</v>
      </c>
      <c r="O70" s="52">
        <f t="shared" si="5"/>
        <v>0</v>
      </c>
      <c r="P70" s="52">
        <f t="shared" si="5"/>
        <v>0</v>
      </c>
    </row>
    <row r="71" spans="1:16" x14ac:dyDescent="0.25">
      <c r="A71" t="str">
        <f>CONCATENATE(Tablo1[[#This Row],[BLOK]]," ",Tablo1[[#This Row],[DAİRE]])</f>
        <v>C-BLOK DÜKKAN 02</v>
      </c>
      <c r="B71" t="s">
        <v>102</v>
      </c>
      <c r="C71" t="s">
        <v>106</v>
      </c>
      <c r="D71">
        <v>45</v>
      </c>
      <c r="E71" s="52">
        <f t="shared" si="5"/>
        <v>0</v>
      </c>
      <c r="F71" s="52">
        <f t="shared" si="5"/>
        <v>0</v>
      </c>
      <c r="G71" s="52">
        <f t="shared" si="5"/>
        <v>0</v>
      </c>
      <c r="H71" s="52">
        <f t="shared" si="5"/>
        <v>0</v>
      </c>
      <c r="I71" s="52">
        <f t="shared" si="5"/>
        <v>0</v>
      </c>
      <c r="J71" s="52">
        <f t="shared" si="5"/>
        <v>0</v>
      </c>
      <c r="K71" s="52">
        <f t="shared" si="5"/>
        <v>0</v>
      </c>
      <c r="L71" s="52">
        <f t="shared" si="5"/>
        <v>0</v>
      </c>
      <c r="M71" s="52">
        <f t="shared" si="5"/>
        <v>0</v>
      </c>
      <c r="N71" s="52">
        <f t="shared" si="5"/>
        <v>0</v>
      </c>
      <c r="O71" s="52">
        <f t="shared" si="5"/>
        <v>0</v>
      </c>
      <c r="P71" s="52">
        <f t="shared" si="5"/>
        <v>0</v>
      </c>
    </row>
    <row r="72" spans="1:16" x14ac:dyDescent="0.25">
      <c r="A72" t="str">
        <f>CONCATENATE(Tablo1[[#This Row],[BLOK]]," ",Tablo1[[#This Row],[DAİRE]])</f>
        <v>C-BLOK DÜKKAN 03</v>
      </c>
      <c r="B72" t="s">
        <v>102</v>
      </c>
      <c r="C72" t="s">
        <v>109</v>
      </c>
      <c r="D72">
        <v>45</v>
      </c>
      <c r="E72" s="52">
        <f t="shared" si="5"/>
        <v>0</v>
      </c>
      <c r="F72" s="52">
        <f t="shared" si="5"/>
        <v>0</v>
      </c>
      <c r="G72" s="52">
        <f t="shared" si="5"/>
        <v>0</v>
      </c>
      <c r="H72" s="52">
        <f t="shared" si="5"/>
        <v>0</v>
      </c>
      <c r="I72" s="52">
        <f t="shared" si="5"/>
        <v>0</v>
      </c>
      <c r="J72" s="52">
        <f t="shared" si="5"/>
        <v>0</v>
      </c>
      <c r="K72" s="52">
        <f t="shared" si="5"/>
        <v>0</v>
      </c>
      <c r="L72" s="52">
        <f t="shared" si="5"/>
        <v>0</v>
      </c>
      <c r="M72" s="52">
        <f t="shared" si="5"/>
        <v>0</v>
      </c>
      <c r="N72" s="52">
        <f t="shared" si="5"/>
        <v>0</v>
      </c>
      <c r="O72" s="52">
        <f t="shared" si="5"/>
        <v>0</v>
      </c>
      <c r="P72" s="52">
        <f t="shared" si="5"/>
        <v>0</v>
      </c>
    </row>
    <row r="73" spans="1:16" x14ac:dyDescent="0.25">
      <c r="A73" t="str">
        <f>CONCATENATE(Tablo1[[#This Row],[BLOK]]," ",Tablo1[[#This Row],[DAİRE]])</f>
        <v>C-BLOK DÜKKAN 04</v>
      </c>
      <c r="B73" t="s">
        <v>102</v>
      </c>
      <c r="C73" t="s">
        <v>112</v>
      </c>
      <c r="D73">
        <v>90</v>
      </c>
      <c r="E73" s="52">
        <f t="shared" si="5"/>
        <v>0</v>
      </c>
      <c r="F73" s="52">
        <f t="shared" si="5"/>
        <v>0</v>
      </c>
      <c r="G73" s="52">
        <f t="shared" si="5"/>
        <v>0</v>
      </c>
      <c r="H73" s="52">
        <f t="shared" si="5"/>
        <v>0</v>
      </c>
      <c r="I73" s="52">
        <f t="shared" si="5"/>
        <v>0</v>
      </c>
      <c r="J73" s="52">
        <f t="shared" si="5"/>
        <v>0</v>
      </c>
      <c r="K73" s="52">
        <f t="shared" si="5"/>
        <v>0</v>
      </c>
      <c r="L73" s="52">
        <f t="shared" si="5"/>
        <v>0</v>
      </c>
      <c r="M73" s="52">
        <f t="shared" si="5"/>
        <v>0</v>
      </c>
      <c r="N73" s="52">
        <f t="shared" si="5"/>
        <v>0</v>
      </c>
      <c r="O73" s="52">
        <f t="shared" si="5"/>
        <v>0</v>
      </c>
      <c r="P73" s="52">
        <f t="shared" si="5"/>
        <v>0</v>
      </c>
    </row>
    <row r="74" spans="1:16" x14ac:dyDescent="0.25">
      <c r="A74" t="str">
        <f>CONCATENATE(Tablo1[[#This Row],[BLOK]]," ",Tablo1[[#This Row],[DAİRE]])</f>
        <v>C-BLOK DAİRE 05</v>
      </c>
      <c r="B74" t="s">
        <v>102</v>
      </c>
      <c r="C74" t="s">
        <v>114</v>
      </c>
      <c r="D74">
        <v>80</v>
      </c>
      <c r="E74" s="52">
        <f t="shared" si="5"/>
        <v>0</v>
      </c>
      <c r="F74" s="52">
        <f t="shared" si="5"/>
        <v>0</v>
      </c>
      <c r="G74" s="52">
        <f t="shared" si="5"/>
        <v>0</v>
      </c>
      <c r="H74" s="52">
        <f t="shared" si="5"/>
        <v>0</v>
      </c>
      <c r="I74" s="52">
        <f t="shared" si="5"/>
        <v>0</v>
      </c>
      <c r="J74" s="52">
        <f t="shared" si="5"/>
        <v>0</v>
      </c>
      <c r="K74" s="52">
        <f t="shared" si="5"/>
        <v>0</v>
      </c>
      <c r="L74" s="52">
        <f t="shared" si="5"/>
        <v>0</v>
      </c>
      <c r="M74" s="52">
        <f t="shared" si="5"/>
        <v>0</v>
      </c>
      <c r="N74" s="52">
        <f t="shared" si="5"/>
        <v>0</v>
      </c>
      <c r="O74" s="52">
        <f t="shared" si="5"/>
        <v>0</v>
      </c>
      <c r="P74" s="52">
        <f t="shared" si="5"/>
        <v>0</v>
      </c>
    </row>
    <row r="75" spans="1:16" x14ac:dyDescent="0.25">
      <c r="A75" t="str">
        <f>CONCATENATE(Tablo1[[#This Row],[BLOK]]," ",Tablo1[[#This Row],[DAİRE]])</f>
        <v>C-BLOK DAİRE 06</v>
      </c>
      <c r="B75" t="s">
        <v>102</v>
      </c>
      <c r="C75" t="s">
        <v>116</v>
      </c>
      <c r="D75">
        <v>49</v>
      </c>
      <c r="E75" s="52">
        <f t="shared" si="5"/>
        <v>0</v>
      </c>
      <c r="F75" s="52">
        <f t="shared" si="5"/>
        <v>0</v>
      </c>
      <c r="G75" s="52">
        <f t="shared" si="5"/>
        <v>0</v>
      </c>
      <c r="H75" s="52">
        <f t="shared" si="5"/>
        <v>0</v>
      </c>
      <c r="I75" s="52">
        <f t="shared" si="5"/>
        <v>0</v>
      </c>
      <c r="J75" s="52">
        <f t="shared" si="5"/>
        <v>0</v>
      </c>
      <c r="K75" s="52">
        <f t="shared" si="5"/>
        <v>0</v>
      </c>
      <c r="L75" s="52">
        <f t="shared" si="5"/>
        <v>0</v>
      </c>
      <c r="M75" s="52">
        <f t="shared" si="5"/>
        <v>0</v>
      </c>
      <c r="N75" s="52">
        <f t="shared" si="5"/>
        <v>0</v>
      </c>
      <c r="O75" s="52">
        <f t="shared" si="5"/>
        <v>0</v>
      </c>
      <c r="P75" s="52">
        <f t="shared" si="5"/>
        <v>0</v>
      </c>
    </row>
    <row r="76" spans="1:16" x14ac:dyDescent="0.25">
      <c r="A76" t="str">
        <f>CONCATENATE(Tablo1[[#This Row],[BLOK]]," ",Tablo1[[#This Row],[DAİRE]])</f>
        <v>C-BLOK DAİRE 07</v>
      </c>
      <c r="B76" t="s">
        <v>102</v>
      </c>
      <c r="C76" t="s">
        <v>118</v>
      </c>
      <c r="D76">
        <v>97</v>
      </c>
      <c r="E76" s="52">
        <f t="shared" si="5"/>
        <v>0</v>
      </c>
      <c r="F76" s="52">
        <f t="shared" si="5"/>
        <v>0</v>
      </c>
      <c r="G76" s="52">
        <f t="shared" si="5"/>
        <v>0</v>
      </c>
      <c r="H76" s="52">
        <f t="shared" si="5"/>
        <v>0</v>
      </c>
      <c r="I76" s="52">
        <f t="shared" si="5"/>
        <v>0</v>
      </c>
      <c r="J76" s="52">
        <f t="shared" si="5"/>
        <v>0</v>
      </c>
      <c r="K76" s="52">
        <f t="shared" si="5"/>
        <v>0</v>
      </c>
      <c r="L76" s="52">
        <f t="shared" si="5"/>
        <v>0</v>
      </c>
      <c r="M76" s="52">
        <f t="shared" si="5"/>
        <v>0</v>
      </c>
      <c r="N76" s="52">
        <f t="shared" si="5"/>
        <v>0</v>
      </c>
      <c r="O76" s="52">
        <f t="shared" si="5"/>
        <v>0</v>
      </c>
      <c r="P76" s="52">
        <f t="shared" si="5"/>
        <v>0</v>
      </c>
    </row>
    <row r="77" spans="1:16" x14ac:dyDescent="0.25">
      <c r="A77" t="str">
        <f>CONCATENATE(Tablo1[[#This Row],[BLOK]]," ",Tablo1[[#This Row],[DAİRE]])</f>
        <v>C-BLOK DAİRE 08</v>
      </c>
      <c r="B77" t="s">
        <v>102</v>
      </c>
      <c r="C77" t="s">
        <v>120</v>
      </c>
      <c r="D77">
        <v>51</v>
      </c>
      <c r="E77" s="52">
        <f t="shared" si="5"/>
        <v>0</v>
      </c>
      <c r="F77" s="52">
        <f t="shared" si="5"/>
        <v>0</v>
      </c>
      <c r="G77" s="52">
        <f t="shared" si="5"/>
        <v>0</v>
      </c>
      <c r="H77" s="52">
        <f t="shared" si="5"/>
        <v>0</v>
      </c>
      <c r="I77" s="52">
        <f t="shared" si="5"/>
        <v>0</v>
      </c>
      <c r="J77" s="52">
        <f t="shared" si="5"/>
        <v>0</v>
      </c>
      <c r="K77" s="52">
        <f t="shared" si="5"/>
        <v>0</v>
      </c>
      <c r="L77" s="52">
        <f t="shared" si="5"/>
        <v>0</v>
      </c>
      <c r="M77" s="52">
        <f t="shared" si="5"/>
        <v>0</v>
      </c>
      <c r="N77" s="52">
        <f t="shared" si="5"/>
        <v>0</v>
      </c>
      <c r="O77" s="52">
        <f t="shared" si="5"/>
        <v>0</v>
      </c>
      <c r="P77" s="52">
        <f t="shared" si="5"/>
        <v>0</v>
      </c>
    </row>
    <row r="78" spans="1:16" x14ac:dyDescent="0.25">
      <c r="A78" t="str">
        <f>CONCATENATE(Tablo1[[#This Row],[BLOK]]," ",Tablo1[[#This Row],[DAİRE]])</f>
        <v>C-BLOK DAİRE 09</v>
      </c>
      <c r="B78" t="s">
        <v>102</v>
      </c>
      <c r="C78" t="s">
        <v>122</v>
      </c>
      <c r="D78">
        <v>97</v>
      </c>
      <c r="E78" s="52">
        <f t="shared" si="5"/>
        <v>0</v>
      </c>
      <c r="F78" s="52">
        <f t="shared" si="5"/>
        <v>0</v>
      </c>
      <c r="G78" s="52">
        <f t="shared" si="5"/>
        <v>0</v>
      </c>
      <c r="H78" s="52">
        <f t="shared" si="5"/>
        <v>0</v>
      </c>
      <c r="I78" s="52">
        <f t="shared" si="5"/>
        <v>0</v>
      </c>
      <c r="J78" s="52">
        <f t="shared" si="5"/>
        <v>0</v>
      </c>
      <c r="K78" s="52">
        <f t="shared" si="5"/>
        <v>0</v>
      </c>
      <c r="L78" s="52">
        <f t="shared" si="5"/>
        <v>0</v>
      </c>
      <c r="M78" s="52">
        <f t="shared" si="5"/>
        <v>0</v>
      </c>
      <c r="N78" s="52">
        <f t="shared" si="5"/>
        <v>0</v>
      </c>
      <c r="O78" s="52">
        <f t="shared" si="5"/>
        <v>0</v>
      </c>
      <c r="P78" s="52">
        <f t="shared" si="5"/>
        <v>0</v>
      </c>
    </row>
    <row r="79" spans="1:16" x14ac:dyDescent="0.25">
      <c r="A79" t="str">
        <f>CONCATENATE(Tablo1[[#This Row],[BLOK]]," ",Tablo1[[#This Row],[DAİRE]])</f>
        <v>C-BLOK DAİRE 10</v>
      </c>
      <c r="B79" t="s">
        <v>102</v>
      </c>
      <c r="C79" t="s">
        <v>124</v>
      </c>
      <c r="D79">
        <v>100</v>
      </c>
      <c r="E79" s="52">
        <f t="shared" si="5"/>
        <v>0</v>
      </c>
      <c r="F79" s="52">
        <f t="shared" si="5"/>
        <v>0</v>
      </c>
      <c r="G79" s="52">
        <f t="shared" si="5"/>
        <v>0</v>
      </c>
      <c r="H79" s="52">
        <f t="shared" si="5"/>
        <v>0</v>
      </c>
      <c r="I79" s="52">
        <f t="shared" si="5"/>
        <v>0</v>
      </c>
      <c r="J79" s="52">
        <f t="shared" si="5"/>
        <v>0</v>
      </c>
      <c r="K79" s="52">
        <f t="shared" si="5"/>
        <v>0</v>
      </c>
      <c r="L79" s="52">
        <f t="shared" si="5"/>
        <v>0</v>
      </c>
      <c r="M79" s="52">
        <f t="shared" si="5"/>
        <v>0</v>
      </c>
      <c r="N79" s="52">
        <f t="shared" si="5"/>
        <v>0</v>
      </c>
      <c r="O79" s="52">
        <f t="shared" si="5"/>
        <v>0</v>
      </c>
      <c r="P79" s="52">
        <f t="shared" si="5"/>
        <v>0</v>
      </c>
    </row>
    <row r="80" spans="1:16" x14ac:dyDescent="0.25">
      <c r="A80" t="str">
        <f>CONCATENATE(Tablo1[[#This Row],[BLOK]]," ",Tablo1[[#This Row],[DAİRE]])</f>
        <v>C-BLOK DAİRE 11</v>
      </c>
      <c r="B80" t="s">
        <v>102</v>
      </c>
      <c r="C80" t="s">
        <v>126</v>
      </c>
      <c r="D80">
        <v>49</v>
      </c>
      <c r="E80" s="52">
        <f t="shared" si="5"/>
        <v>0</v>
      </c>
      <c r="F80" s="52">
        <f t="shared" si="5"/>
        <v>0</v>
      </c>
      <c r="G80" s="52">
        <f t="shared" si="5"/>
        <v>0</v>
      </c>
      <c r="H80" s="52">
        <f t="shared" si="5"/>
        <v>0</v>
      </c>
      <c r="I80" s="52">
        <f t="shared" si="5"/>
        <v>0</v>
      </c>
      <c r="J80" s="52">
        <f t="shared" si="5"/>
        <v>0</v>
      </c>
      <c r="K80" s="52">
        <f t="shared" si="5"/>
        <v>0</v>
      </c>
      <c r="L80" s="52">
        <f t="shared" si="5"/>
        <v>0</v>
      </c>
      <c r="M80" s="52">
        <f t="shared" si="5"/>
        <v>0</v>
      </c>
      <c r="N80" s="52">
        <f t="shared" si="5"/>
        <v>0</v>
      </c>
      <c r="O80" s="52">
        <f t="shared" si="5"/>
        <v>0</v>
      </c>
      <c r="P80" s="52">
        <f t="shared" si="5"/>
        <v>0</v>
      </c>
    </row>
    <row r="81" spans="1:16" x14ac:dyDescent="0.25">
      <c r="A81" t="str">
        <f>CONCATENATE(Tablo1[[#This Row],[BLOK]]," ",Tablo1[[#This Row],[DAİRE]])</f>
        <v>C-BLOK DAİRE 12</v>
      </c>
      <c r="B81" t="s">
        <v>102</v>
      </c>
      <c r="C81" t="s">
        <v>128</v>
      </c>
      <c r="D81">
        <v>49</v>
      </c>
      <c r="E81" s="52">
        <f t="shared" si="5"/>
        <v>0</v>
      </c>
      <c r="F81" s="52">
        <f t="shared" si="5"/>
        <v>0</v>
      </c>
      <c r="G81" s="52">
        <f t="shared" si="5"/>
        <v>0</v>
      </c>
      <c r="H81" s="52">
        <f t="shared" si="5"/>
        <v>0</v>
      </c>
      <c r="I81" s="52">
        <f t="shared" si="5"/>
        <v>0</v>
      </c>
      <c r="J81" s="52">
        <f t="shared" si="5"/>
        <v>0</v>
      </c>
      <c r="K81" s="52">
        <f t="shared" si="5"/>
        <v>0</v>
      </c>
      <c r="L81" s="52">
        <f t="shared" si="5"/>
        <v>0</v>
      </c>
      <c r="M81" s="52">
        <f t="shared" si="5"/>
        <v>0</v>
      </c>
      <c r="N81" s="52">
        <f t="shared" si="5"/>
        <v>0</v>
      </c>
      <c r="O81" s="52">
        <f t="shared" si="5"/>
        <v>0</v>
      </c>
      <c r="P81" s="52">
        <f t="shared" si="5"/>
        <v>0</v>
      </c>
    </row>
    <row r="82" spans="1:16" x14ac:dyDescent="0.25">
      <c r="A82" t="str">
        <f>CONCATENATE(Tablo1[[#This Row],[BLOK]]," ",Tablo1[[#This Row],[DAİRE]])</f>
        <v>C-BLOK DAİRE 13</v>
      </c>
      <c r="B82" t="s">
        <v>102</v>
      </c>
      <c r="C82" t="s">
        <v>130</v>
      </c>
      <c r="D82">
        <v>101</v>
      </c>
      <c r="E82" s="52">
        <f t="shared" si="5"/>
        <v>0</v>
      </c>
      <c r="F82" s="52">
        <f t="shared" si="5"/>
        <v>0</v>
      </c>
      <c r="G82" s="52">
        <f t="shared" si="5"/>
        <v>0</v>
      </c>
      <c r="H82" s="52">
        <f t="shared" si="5"/>
        <v>0</v>
      </c>
      <c r="I82" s="52">
        <f t="shared" si="5"/>
        <v>0</v>
      </c>
      <c r="J82" s="52">
        <f t="shared" si="5"/>
        <v>0</v>
      </c>
      <c r="K82" s="52">
        <f t="shared" si="5"/>
        <v>0</v>
      </c>
      <c r="L82" s="52">
        <f t="shared" si="5"/>
        <v>0</v>
      </c>
      <c r="M82" s="52">
        <f t="shared" si="5"/>
        <v>0</v>
      </c>
      <c r="N82" s="52">
        <f t="shared" si="5"/>
        <v>0</v>
      </c>
      <c r="O82" s="52">
        <f t="shared" si="5"/>
        <v>0</v>
      </c>
      <c r="P82" s="52">
        <f t="shared" si="5"/>
        <v>0</v>
      </c>
    </row>
    <row r="83" spans="1:16" x14ac:dyDescent="0.25">
      <c r="A83" t="str">
        <f>CONCATENATE(Tablo1[[#This Row],[BLOK]]," ",Tablo1[[#This Row],[DAİRE]])</f>
        <v>C-BLOK DAİRE 14</v>
      </c>
      <c r="B83" t="s">
        <v>102</v>
      </c>
      <c r="C83" t="s">
        <v>132</v>
      </c>
      <c r="D83">
        <v>100</v>
      </c>
      <c r="E83" s="52">
        <f t="shared" si="5"/>
        <v>0</v>
      </c>
      <c r="F83" s="52">
        <f t="shared" si="5"/>
        <v>0</v>
      </c>
      <c r="G83" s="52">
        <f t="shared" si="5"/>
        <v>0</v>
      </c>
      <c r="H83" s="52">
        <f t="shared" si="5"/>
        <v>0</v>
      </c>
      <c r="I83" s="52">
        <f t="shared" si="5"/>
        <v>0</v>
      </c>
      <c r="J83" s="52">
        <f t="shared" si="5"/>
        <v>0</v>
      </c>
      <c r="K83" s="52">
        <f t="shared" si="5"/>
        <v>0</v>
      </c>
      <c r="L83" s="52">
        <f t="shared" si="5"/>
        <v>0</v>
      </c>
      <c r="M83" s="52">
        <f t="shared" si="5"/>
        <v>0</v>
      </c>
      <c r="N83" s="52">
        <f t="shared" si="5"/>
        <v>0</v>
      </c>
      <c r="O83" s="52">
        <f t="shared" si="5"/>
        <v>0</v>
      </c>
      <c r="P83" s="52">
        <f t="shared" si="5"/>
        <v>0</v>
      </c>
    </row>
    <row r="84" spans="1:16" x14ac:dyDescent="0.25">
      <c r="A84" t="str">
        <f>CONCATENATE(Tablo1[[#This Row],[BLOK]]," ",Tablo1[[#This Row],[DAİRE]])</f>
        <v>C-BLOK DAİRE 15</v>
      </c>
      <c r="B84" t="s">
        <v>102</v>
      </c>
      <c r="C84" t="s">
        <v>134</v>
      </c>
      <c r="D84">
        <v>51</v>
      </c>
      <c r="E84" s="52">
        <f t="shared" si="5"/>
        <v>0</v>
      </c>
      <c r="F84" s="52">
        <f t="shared" si="5"/>
        <v>0</v>
      </c>
      <c r="G84" s="52">
        <f t="shared" si="5"/>
        <v>0</v>
      </c>
      <c r="H84" s="52">
        <f t="shared" si="5"/>
        <v>0</v>
      </c>
      <c r="I84" s="52">
        <f t="shared" si="5"/>
        <v>0</v>
      </c>
      <c r="J84" s="52">
        <f t="shared" si="5"/>
        <v>0</v>
      </c>
      <c r="K84" s="52">
        <f t="shared" si="5"/>
        <v>0</v>
      </c>
      <c r="L84" s="52">
        <f t="shared" si="5"/>
        <v>0</v>
      </c>
      <c r="M84" s="52">
        <f t="shared" si="5"/>
        <v>0</v>
      </c>
      <c r="N84" s="52">
        <f t="shared" si="5"/>
        <v>0</v>
      </c>
      <c r="O84" s="52">
        <f t="shared" si="5"/>
        <v>0</v>
      </c>
      <c r="P84" s="52">
        <f t="shared" si="5"/>
        <v>0</v>
      </c>
    </row>
    <row r="85" spans="1:16" x14ac:dyDescent="0.25">
      <c r="A85" t="str">
        <f>CONCATENATE(Tablo1[[#This Row],[BLOK]]," ",Tablo1[[#This Row],[DAİRE]])</f>
        <v>C-BLOK DAİRE 16</v>
      </c>
      <c r="B85" t="s">
        <v>102</v>
      </c>
      <c r="C85" t="s">
        <v>136</v>
      </c>
      <c r="D85">
        <v>97</v>
      </c>
      <c r="E85" s="52">
        <f t="shared" si="5"/>
        <v>0</v>
      </c>
      <c r="F85" s="52">
        <f t="shared" si="5"/>
        <v>0</v>
      </c>
      <c r="G85" s="52">
        <f t="shared" si="5"/>
        <v>0</v>
      </c>
      <c r="H85" s="52">
        <f t="shared" si="5"/>
        <v>0</v>
      </c>
      <c r="I85" s="52">
        <f t="shared" si="5"/>
        <v>0</v>
      </c>
      <c r="J85" s="52">
        <f t="shared" si="5"/>
        <v>0</v>
      </c>
      <c r="K85" s="52">
        <f t="shared" si="5"/>
        <v>0</v>
      </c>
      <c r="L85" s="52">
        <f t="shared" si="5"/>
        <v>0</v>
      </c>
      <c r="M85" s="52">
        <f t="shared" si="5"/>
        <v>0</v>
      </c>
      <c r="N85" s="52">
        <f t="shared" si="5"/>
        <v>0</v>
      </c>
      <c r="O85" s="52">
        <f t="shared" si="5"/>
        <v>0</v>
      </c>
      <c r="P85" s="52">
        <f t="shared" si="5"/>
        <v>0</v>
      </c>
    </row>
    <row r="86" spans="1:16" x14ac:dyDescent="0.25">
      <c r="A86" t="str">
        <f>CONCATENATE(Tablo1[[#This Row],[BLOK]]," ",Tablo1[[#This Row],[DAİRE]])</f>
        <v>C-BLOK DAİRE 17</v>
      </c>
      <c r="B86" t="s">
        <v>102</v>
      </c>
      <c r="C86" t="s">
        <v>138</v>
      </c>
      <c r="D86">
        <v>100</v>
      </c>
      <c r="E86" s="52">
        <f t="shared" si="5"/>
        <v>0</v>
      </c>
      <c r="F86" s="52">
        <f t="shared" si="5"/>
        <v>0</v>
      </c>
      <c r="G86" s="52">
        <f t="shared" si="5"/>
        <v>0</v>
      </c>
      <c r="H86" s="52">
        <f t="shared" si="5"/>
        <v>0</v>
      </c>
      <c r="I86" s="52">
        <f t="shared" si="5"/>
        <v>0</v>
      </c>
      <c r="J86" s="52">
        <f t="shared" si="5"/>
        <v>0</v>
      </c>
      <c r="K86" s="52">
        <f t="shared" si="5"/>
        <v>0</v>
      </c>
      <c r="L86" s="52">
        <f t="shared" si="5"/>
        <v>0</v>
      </c>
      <c r="M86" s="52">
        <f t="shared" si="5"/>
        <v>0</v>
      </c>
      <c r="N86" s="52">
        <f t="shared" si="5"/>
        <v>0</v>
      </c>
      <c r="O86" s="52">
        <f t="shared" si="5"/>
        <v>0</v>
      </c>
      <c r="P86" s="52">
        <f t="shared" si="5"/>
        <v>0</v>
      </c>
    </row>
    <row r="87" spans="1:16" x14ac:dyDescent="0.25">
      <c r="A87" t="str">
        <f>CONCATENATE(Tablo1[[#This Row],[BLOK]]," ",Tablo1[[#This Row],[DAİRE]])</f>
        <v>C-BLOK DAİRE 18</v>
      </c>
      <c r="B87" t="s">
        <v>102</v>
      </c>
      <c r="C87" t="s">
        <v>140</v>
      </c>
      <c r="D87">
        <v>49</v>
      </c>
      <c r="E87" s="52">
        <f t="shared" si="5"/>
        <v>0</v>
      </c>
      <c r="F87" s="52">
        <f t="shared" si="5"/>
        <v>0</v>
      </c>
      <c r="G87" s="52">
        <f t="shared" si="5"/>
        <v>0</v>
      </c>
      <c r="H87" s="52">
        <f t="shared" si="5"/>
        <v>0</v>
      </c>
      <c r="I87" s="52">
        <f t="shared" si="5"/>
        <v>0</v>
      </c>
      <c r="J87" s="52">
        <f t="shared" si="5"/>
        <v>0</v>
      </c>
      <c r="K87" s="52">
        <f t="shared" si="5"/>
        <v>0</v>
      </c>
      <c r="L87" s="52">
        <f t="shared" si="5"/>
        <v>0</v>
      </c>
      <c r="M87" s="52">
        <f t="shared" si="5"/>
        <v>0</v>
      </c>
      <c r="N87" s="52">
        <f t="shared" si="5"/>
        <v>0</v>
      </c>
      <c r="O87" s="52">
        <f t="shared" si="5"/>
        <v>0</v>
      </c>
      <c r="P87" s="52">
        <f t="shared" si="5"/>
        <v>0</v>
      </c>
    </row>
    <row r="88" spans="1:16" x14ac:dyDescent="0.25">
      <c r="A88" t="str">
        <f>CONCATENATE(Tablo1[[#This Row],[BLOK]]," ",Tablo1[[#This Row],[DAİRE]])</f>
        <v>C-BLOK DAİRE 19</v>
      </c>
      <c r="B88" t="s">
        <v>102</v>
      </c>
      <c r="C88" t="s">
        <v>142</v>
      </c>
      <c r="D88">
        <v>49</v>
      </c>
      <c r="E88" s="52">
        <f t="shared" si="5"/>
        <v>0</v>
      </c>
      <c r="F88" s="52">
        <f t="shared" si="5"/>
        <v>0</v>
      </c>
      <c r="G88" s="52">
        <f t="shared" si="5"/>
        <v>0</v>
      </c>
      <c r="H88" s="52">
        <f t="shared" si="5"/>
        <v>0</v>
      </c>
      <c r="I88" s="52">
        <f t="shared" si="5"/>
        <v>0</v>
      </c>
      <c r="J88" s="52">
        <f t="shared" si="5"/>
        <v>0</v>
      </c>
      <c r="K88" s="52">
        <f t="shared" si="5"/>
        <v>0</v>
      </c>
      <c r="L88" s="52">
        <f t="shared" si="5"/>
        <v>0</v>
      </c>
      <c r="M88" s="52">
        <f t="shared" si="5"/>
        <v>0</v>
      </c>
      <c r="N88" s="52">
        <f t="shared" si="5"/>
        <v>0</v>
      </c>
      <c r="O88" s="52">
        <f t="shared" si="5"/>
        <v>0</v>
      </c>
      <c r="P88" s="52">
        <f t="shared" si="5"/>
        <v>0</v>
      </c>
    </row>
    <row r="89" spans="1:16" x14ac:dyDescent="0.25">
      <c r="A89" t="str">
        <f>CONCATENATE(Tablo1[[#This Row],[BLOK]]," ",Tablo1[[#This Row],[DAİRE]])</f>
        <v>C-BLOK DAİRE 20</v>
      </c>
      <c r="B89" t="s">
        <v>102</v>
      </c>
      <c r="C89" t="s">
        <v>144</v>
      </c>
      <c r="D89">
        <v>101</v>
      </c>
      <c r="E89" s="52">
        <f t="shared" si="5"/>
        <v>0</v>
      </c>
      <c r="F89" s="52">
        <f t="shared" si="5"/>
        <v>0</v>
      </c>
      <c r="G89" s="52">
        <f t="shared" si="5"/>
        <v>0</v>
      </c>
      <c r="H89" s="52">
        <f t="shared" si="5"/>
        <v>0</v>
      </c>
      <c r="I89" s="52">
        <f t="shared" si="5"/>
        <v>0</v>
      </c>
      <c r="J89" s="52">
        <f t="shared" si="5"/>
        <v>0</v>
      </c>
      <c r="K89" s="52">
        <f t="shared" si="5"/>
        <v>0</v>
      </c>
      <c r="L89" s="52">
        <f t="shared" si="5"/>
        <v>0</v>
      </c>
      <c r="M89" s="52">
        <f t="shared" si="5"/>
        <v>0</v>
      </c>
      <c r="N89" s="52">
        <f t="shared" si="5"/>
        <v>0</v>
      </c>
      <c r="O89" s="52">
        <f t="shared" si="5"/>
        <v>0</v>
      </c>
      <c r="P89" s="52">
        <f t="shared" si="5"/>
        <v>0</v>
      </c>
    </row>
    <row r="90" spans="1:16" x14ac:dyDescent="0.25">
      <c r="A90" t="str">
        <f>CONCATENATE(Tablo1[[#This Row],[BLOK]]," ",Tablo1[[#This Row],[DAİRE]])</f>
        <v>C-BLOK DAİRE 21</v>
      </c>
      <c r="B90" t="s">
        <v>102</v>
      </c>
      <c r="C90" t="s">
        <v>146</v>
      </c>
      <c r="D90">
        <v>100</v>
      </c>
      <c r="E90" s="52">
        <f t="shared" si="5"/>
        <v>0</v>
      </c>
      <c r="F90" s="52">
        <f t="shared" si="5"/>
        <v>0</v>
      </c>
      <c r="G90" s="52">
        <f t="shared" si="5"/>
        <v>0</v>
      </c>
      <c r="H90" s="52">
        <f t="shared" si="5"/>
        <v>0</v>
      </c>
      <c r="I90" s="52">
        <f t="shared" si="5"/>
        <v>0</v>
      </c>
      <c r="J90" s="52">
        <f t="shared" si="5"/>
        <v>0</v>
      </c>
      <c r="K90" s="52">
        <f t="shared" si="5"/>
        <v>0</v>
      </c>
      <c r="L90" s="52">
        <f t="shared" si="5"/>
        <v>0</v>
      </c>
      <c r="M90" s="52">
        <f t="shared" si="5"/>
        <v>0</v>
      </c>
      <c r="N90" s="52">
        <f t="shared" si="5"/>
        <v>0</v>
      </c>
      <c r="O90" s="52">
        <f t="shared" si="5"/>
        <v>0</v>
      </c>
      <c r="P90" s="52">
        <f t="shared" si="5"/>
        <v>0</v>
      </c>
    </row>
    <row r="91" spans="1:16" x14ac:dyDescent="0.25">
      <c r="A91" t="str">
        <f>CONCATENATE(Tablo1[[#This Row],[BLOK]]," ",Tablo1[[#This Row],[DAİRE]])</f>
        <v>C-BLOK DAİRE 22</v>
      </c>
      <c r="B91" t="s">
        <v>102</v>
      </c>
      <c r="C91" t="s">
        <v>148</v>
      </c>
      <c r="D91">
        <v>51</v>
      </c>
      <c r="E91" s="52">
        <f t="shared" si="5"/>
        <v>0</v>
      </c>
      <c r="F91" s="52">
        <f t="shared" si="5"/>
        <v>0</v>
      </c>
      <c r="G91" s="52">
        <f t="shared" si="5"/>
        <v>0</v>
      </c>
      <c r="H91" s="52">
        <f t="shared" si="5"/>
        <v>0</v>
      </c>
      <c r="I91" s="52">
        <f t="shared" si="5"/>
        <v>0</v>
      </c>
      <c r="J91" s="52">
        <f t="shared" si="5"/>
        <v>0</v>
      </c>
      <c r="K91" s="52">
        <f t="shared" si="5"/>
        <v>0</v>
      </c>
      <c r="L91" s="52">
        <f t="shared" si="5"/>
        <v>0</v>
      </c>
      <c r="M91" s="52">
        <f t="shared" si="5"/>
        <v>0</v>
      </c>
      <c r="N91" s="52">
        <f t="shared" si="5"/>
        <v>0</v>
      </c>
      <c r="O91" s="52">
        <f t="shared" si="5"/>
        <v>0</v>
      </c>
      <c r="P91" s="52">
        <f t="shared" si="5"/>
        <v>0</v>
      </c>
    </row>
    <row r="92" spans="1:16" x14ac:dyDescent="0.25">
      <c r="A92" t="str">
        <f>CONCATENATE(Tablo1[[#This Row],[BLOK]]," ",Tablo1[[#This Row],[DAİRE]])</f>
        <v>C-BLOK DAİRE 23</v>
      </c>
      <c r="B92" t="s">
        <v>102</v>
      </c>
      <c r="C92" t="s">
        <v>150</v>
      </c>
      <c r="D92">
        <v>97</v>
      </c>
      <c r="E92" s="52">
        <f t="shared" ref="E92:P113" si="6">ROUNDUP(E$4*$D92,1)</f>
        <v>0</v>
      </c>
      <c r="F92" s="52">
        <f t="shared" si="6"/>
        <v>0</v>
      </c>
      <c r="G92" s="52">
        <f t="shared" si="6"/>
        <v>0</v>
      </c>
      <c r="H92" s="52">
        <f t="shared" si="6"/>
        <v>0</v>
      </c>
      <c r="I92" s="52">
        <f t="shared" si="6"/>
        <v>0</v>
      </c>
      <c r="J92" s="52">
        <f t="shared" si="6"/>
        <v>0</v>
      </c>
      <c r="K92" s="52">
        <f t="shared" si="6"/>
        <v>0</v>
      </c>
      <c r="L92" s="52">
        <f t="shared" si="6"/>
        <v>0</v>
      </c>
      <c r="M92" s="52">
        <f t="shared" si="6"/>
        <v>0</v>
      </c>
      <c r="N92" s="52">
        <f t="shared" si="6"/>
        <v>0</v>
      </c>
      <c r="O92" s="52">
        <f t="shared" si="6"/>
        <v>0</v>
      </c>
      <c r="P92" s="52">
        <f t="shared" si="6"/>
        <v>0</v>
      </c>
    </row>
    <row r="93" spans="1:16" x14ac:dyDescent="0.25">
      <c r="A93" t="str">
        <f>CONCATENATE(Tablo1[[#This Row],[BLOK]]," ",Tablo1[[#This Row],[DAİRE]])</f>
        <v>C-BLOK DAİRE 24</v>
      </c>
      <c r="B93" t="s">
        <v>102</v>
      </c>
      <c r="C93" t="s">
        <v>152</v>
      </c>
      <c r="D93">
        <v>100</v>
      </c>
      <c r="E93" s="52">
        <f t="shared" si="6"/>
        <v>0</v>
      </c>
      <c r="F93" s="52">
        <f t="shared" si="6"/>
        <v>0</v>
      </c>
      <c r="G93" s="52">
        <f t="shared" si="6"/>
        <v>0</v>
      </c>
      <c r="H93" s="52">
        <f t="shared" si="6"/>
        <v>0</v>
      </c>
      <c r="I93" s="52">
        <f t="shared" si="6"/>
        <v>0</v>
      </c>
      <c r="J93" s="52">
        <f t="shared" si="6"/>
        <v>0</v>
      </c>
      <c r="K93" s="52">
        <f t="shared" si="6"/>
        <v>0</v>
      </c>
      <c r="L93" s="52">
        <f t="shared" si="6"/>
        <v>0</v>
      </c>
      <c r="M93" s="52">
        <f t="shared" si="6"/>
        <v>0</v>
      </c>
      <c r="N93" s="52">
        <f t="shared" si="6"/>
        <v>0</v>
      </c>
      <c r="O93" s="52">
        <f t="shared" si="6"/>
        <v>0</v>
      </c>
      <c r="P93" s="52">
        <f t="shared" si="6"/>
        <v>0</v>
      </c>
    </row>
    <row r="94" spans="1:16" x14ac:dyDescent="0.25">
      <c r="A94" t="str">
        <f>CONCATENATE(Tablo1[[#This Row],[BLOK]]," ",Tablo1[[#This Row],[DAİRE]])</f>
        <v>C-BLOK DAİRE 25</v>
      </c>
      <c r="B94" t="s">
        <v>102</v>
      </c>
      <c r="C94" t="s">
        <v>154</v>
      </c>
      <c r="D94">
        <v>49</v>
      </c>
      <c r="E94" s="52">
        <f t="shared" si="6"/>
        <v>0</v>
      </c>
      <c r="F94" s="52">
        <f t="shared" si="6"/>
        <v>0</v>
      </c>
      <c r="G94" s="52">
        <f t="shared" si="6"/>
        <v>0</v>
      </c>
      <c r="H94" s="52">
        <f t="shared" si="6"/>
        <v>0</v>
      </c>
      <c r="I94" s="52">
        <f t="shared" si="6"/>
        <v>0</v>
      </c>
      <c r="J94" s="52">
        <f t="shared" si="6"/>
        <v>0</v>
      </c>
      <c r="K94" s="52">
        <f t="shared" si="6"/>
        <v>0</v>
      </c>
      <c r="L94" s="52">
        <f t="shared" si="6"/>
        <v>0</v>
      </c>
      <c r="M94" s="52">
        <f t="shared" si="6"/>
        <v>0</v>
      </c>
      <c r="N94" s="52">
        <f t="shared" si="6"/>
        <v>0</v>
      </c>
      <c r="O94" s="52">
        <f t="shared" si="6"/>
        <v>0</v>
      </c>
      <c r="P94" s="52">
        <f t="shared" si="6"/>
        <v>0</v>
      </c>
    </row>
    <row r="95" spans="1:16" x14ac:dyDescent="0.25">
      <c r="A95" t="str">
        <f>CONCATENATE(Tablo1[[#This Row],[BLOK]]," ",Tablo1[[#This Row],[DAİRE]])</f>
        <v>C-BLOK DAİRE 26</v>
      </c>
      <c r="B95" t="s">
        <v>102</v>
      </c>
      <c r="C95" t="s">
        <v>155</v>
      </c>
      <c r="D95">
        <v>49</v>
      </c>
      <c r="E95" s="52">
        <f t="shared" si="6"/>
        <v>0</v>
      </c>
      <c r="F95" s="52">
        <f t="shared" si="6"/>
        <v>0</v>
      </c>
      <c r="G95" s="52">
        <f t="shared" si="6"/>
        <v>0</v>
      </c>
      <c r="H95" s="52">
        <f t="shared" si="6"/>
        <v>0</v>
      </c>
      <c r="I95" s="52">
        <f t="shared" si="6"/>
        <v>0</v>
      </c>
      <c r="J95" s="52">
        <f t="shared" si="6"/>
        <v>0</v>
      </c>
      <c r="K95" s="52">
        <f t="shared" si="6"/>
        <v>0</v>
      </c>
      <c r="L95" s="52">
        <f t="shared" si="6"/>
        <v>0</v>
      </c>
      <c r="M95" s="52">
        <f t="shared" si="6"/>
        <v>0</v>
      </c>
      <c r="N95" s="52">
        <f t="shared" si="6"/>
        <v>0</v>
      </c>
      <c r="O95" s="52">
        <f t="shared" si="6"/>
        <v>0</v>
      </c>
      <c r="P95" s="52">
        <f t="shared" si="6"/>
        <v>0</v>
      </c>
    </row>
    <row r="96" spans="1:16" x14ac:dyDescent="0.25">
      <c r="A96" t="str">
        <f>CONCATENATE(Tablo1[[#This Row],[BLOK]]," ",Tablo1[[#This Row],[DAİRE]])</f>
        <v>C-BLOK DAİRE 27</v>
      </c>
      <c r="B96" t="s">
        <v>102</v>
      </c>
      <c r="C96" t="s">
        <v>156</v>
      </c>
      <c r="D96">
        <v>101</v>
      </c>
      <c r="E96" s="52">
        <f t="shared" si="6"/>
        <v>0</v>
      </c>
      <c r="F96" s="52">
        <f t="shared" si="6"/>
        <v>0</v>
      </c>
      <c r="G96" s="52">
        <f t="shared" si="6"/>
        <v>0</v>
      </c>
      <c r="H96" s="52">
        <f t="shared" si="6"/>
        <v>0</v>
      </c>
      <c r="I96" s="52">
        <f t="shared" si="6"/>
        <v>0</v>
      </c>
      <c r="J96" s="52">
        <f t="shared" si="6"/>
        <v>0</v>
      </c>
      <c r="K96" s="52">
        <f t="shared" si="6"/>
        <v>0</v>
      </c>
      <c r="L96" s="52">
        <f t="shared" si="6"/>
        <v>0</v>
      </c>
      <c r="M96" s="52">
        <f t="shared" si="6"/>
        <v>0</v>
      </c>
      <c r="N96" s="52">
        <f t="shared" si="6"/>
        <v>0</v>
      </c>
      <c r="O96" s="52">
        <f t="shared" si="6"/>
        <v>0</v>
      </c>
      <c r="P96" s="52">
        <f t="shared" si="6"/>
        <v>0</v>
      </c>
    </row>
    <row r="97" spans="1:16" x14ac:dyDescent="0.25">
      <c r="A97" t="str">
        <f>CONCATENATE(Tablo1[[#This Row],[BLOK]]," ",Tablo1[[#This Row],[DAİRE]])</f>
        <v>C-BLOK DAİRE 28</v>
      </c>
      <c r="B97" t="s">
        <v>102</v>
      </c>
      <c r="C97" t="s">
        <v>158</v>
      </c>
      <c r="D97">
        <v>100</v>
      </c>
      <c r="E97" s="52">
        <f t="shared" si="6"/>
        <v>0</v>
      </c>
      <c r="F97" s="52">
        <f t="shared" si="6"/>
        <v>0</v>
      </c>
      <c r="G97" s="52">
        <f t="shared" si="6"/>
        <v>0</v>
      </c>
      <c r="H97" s="52">
        <f t="shared" si="6"/>
        <v>0</v>
      </c>
      <c r="I97" s="52">
        <f t="shared" si="6"/>
        <v>0</v>
      </c>
      <c r="J97" s="52">
        <f t="shared" si="6"/>
        <v>0</v>
      </c>
      <c r="K97" s="52">
        <f t="shared" si="6"/>
        <v>0</v>
      </c>
      <c r="L97" s="52">
        <f t="shared" si="6"/>
        <v>0</v>
      </c>
      <c r="M97" s="52">
        <f t="shared" si="6"/>
        <v>0</v>
      </c>
      <c r="N97" s="52">
        <f t="shared" si="6"/>
        <v>0</v>
      </c>
      <c r="O97" s="52">
        <f t="shared" si="6"/>
        <v>0</v>
      </c>
      <c r="P97" s="52">
        <f t="shared" si="6"/>
        <v>0</v>
      </c>
    </row>
    <row r="98" spans="1:16" x14ac:dyDescent="0.25">
      <c r="A98" t="str">
        <f>CONCATENATE(Tablo1[[#This Row],[BLOK]]," ",Tablo1[[#This Row],[DAİRE]])</f>
        <v>C-BLOK DAİRE 29</v>
      </c>
      <c r="B98" t="s">
        <v>102</v>
      </c>
      <c r="C98" t="s">
        <v>159</v>
      </c>
      <c r="D98">
        <v>51</v>
      </c>
      <c r="E98" s="52">
        <f t="shared" si="6"/>
        <v>0</v>
      </c>
      <c r="F98" s="52">
        <f t="shared" si="6"/>
        <v>0</v>
      </c>
      <c r="G98" s="52">
        <f t="shared" si="6"/>
        <v>0</v>
      </c>
      <c r="H98" s="52">
        <f t="shared" si="6"/>
        <v>0</v>
      </c>
      <c r="I98" s="52">
        <f t="shared" si="6"/>
        <v>0</v>
      </c>
      <c r="J98" s="52">
        <f t="shared" si="6"/>
        <v>0</v>
      </c>
      <c r="K98" s="52">
        <f t="shared" si="6"/>
        <v>0</v>
      </c>
      <c r="L98" s="52">
        <f t="shared" si="6"/>
        <v>0</v>
      </c>
      <c r="M98" s="52">
        <f t="shared" si="6"/>
        <v>0</v>
      </c>
      <c r="N98" s="52">
        <f t="shared" si="6"/>
        <v>0</v>
      </c>
      <c r="O98" s="52">
        <f t="shared" si="6"/>
        <v>0</v>
      </c>
      <c r="P98" s="52">
        <f t="shared" si="6"/>
        <v>0</v>
      </c>
    </row>
    <row r="99" spans="1:16" x14ac:dyDescent="0.25">
      <c r="A99" t="str">
        <f>CONCATENATE(Tablo1[[#This Row],[BLOK]]," ",Tablo1[[#This Row],[DAİRE]])</f>
        <v>C-BLOK DAİRE 30</v>
      </c>
      <c r="B99" t="s">
        <v>102</v>
      </c>
      <c r="C99" t="s">
        <v>160</v>
      </c>
      <c r="D99">
        <v>97</v>
      </c>
      <c r="E99" s="52">
        <f t="shared" si="6"/>
        <v>0</v>
      </c>
      <c r="F99" s="52">
        <f t="shared" si="6"/>
        <v>0</v>
      </c>
      <c r="G99" s="52">
        <f t="shared" si="6"/>
        <v>0</v>
      </c>
      <c r="H99" s="52">
        <f t="shared" si="6"/>
        <v>0</v>
      </c>
      <c r="I99" s="52">
        <f t="shared" si="6"/>
        <v>0</v>
      </c>
      <c r="J99" s="52">
        <f t="shared" si="6"/>
        <v>0</v>
      </c>
      <c r="K99" s="52">
        <f t="shared" si="6"/>
        <v>0</v>
      </c>
      <c r="L99" s="52">
        <f t="shared" si="6"/>
        <v>0</v>
      </c>
      <c r="M99" s="52">
        <f t="shared" si="6"/>
        <v>0</v>
      </c>
      <c r="N99" s="52">
        <f t="shared" si="6"/>
        <v>0</v>
      </c>
      <c r="O99" s="52">
        <f t="shared" si="6"/>
        <v>0</v>
      </c>
      <c r="P99" s="52">
        <f t="shared" si="6"/>
        <v>0</v>
      </c>
    </row>
    <row r="100" spans="1:16" x14ac:dyDescent="0.25">
      <c r="A100" t="str">
        <f>CONCATENATE(Tablo1[[#This Row],[BLOK]]," ",Tablo1[[#This Row],[DAİRE]])</f>
        <v>C-BLOK DAİRE 31</v>
      </c>
      <c r="B100" t="s">
        <v>102</v>
      </c>
      <c r="C100" t="s">
        <v>162</v>
      </c>
      <c r="D100">
        <v>100</v>
      </c>
      <c r="E100" s="52">
        <f t="shared" si="6"/>
        <v>0</v>
      </c>
      <c r="F100" s="52">
        <f t="shared" si="6"/>
        <v>0</v>
      </c>
      <c r="G100" s="52">
        <f t="shared" si="6"/>
        <v>0</v>
      </c>
      <c r="H100" s="52">
        <f t="shared" si="6"/>
        <v>0</v>
      </c>
      <c r="I100" s="52">
        <f t="shared" si="6"/>
        <v>0</v>
      </c>
      <c r="J100" s="52">
        <f t="shared" si="6"/>
        <v>0</v>
      </c>
      <c r="K100" s="52">
        <f t="shared" si="6"/>
        <v>0</v>
      </c>
      <c r="L100" s="52">
        <f t="shared" si="6"/>
        <v>0</v>
      </c>
      <c r="M100" s="52">
        <f t="shared" si="6"/>
        <v>0</v>
      </c>
      <c r="N100" s="52">
        <f t="shared" si="6"/>
        <v>0</v>
      </c>
      <c r="O100" s="52">
        <f t="shared" si="6"/>
        <v>0</v>
      </c>
      <c r="P100" s="52">
        <f t="shared" si="6"/>
        <v>0</v>
      </c>
    </row>
    <row r="101" spans="1:16" x14ac:dyDescent="0.25">
      <c r="A101" t="str">
        <f>CONCATENATE(Tablo1[[#This Row],[BLOK]]," ",Tablo1[[#This Row],[DAİRE]])</f>
        <v>C-BLOK DAİRE 32</v>
      </c>
      <c r="B101" t="s">
        <v>102</v>
      </c>
      <c r="C101" t="s">
        <v>164</v>
      </c>
      <c r="D101">
        <v>49</v>
      </c>
      <c r="E101" s="52">
        <f t="shared" si="6"/>
        <v>0</v>
      </c>
      <c r="F101" s="52">
        <f t="shared" si="6"/>
        <v>0</v>
      </c>
      <c r="G101" s="52">
        <f t="shared" si="6"/>
        <v>0</v>
      </c>
      <c r="H101" s="52">
        <f t="shared" si="6"/>
        <v>0</v>
      </c>
      <c r="I101" s="52">
        <f t="shared" si="6"/>
        <v>0</v>
      </c>
      <c r="J101" s="52">
        <f t="shared" si="6"/>
        <v>0</v>
      </c>
      <c r="K101" s="52">
        <f t="shared" si="6"/>
        <v>0</v>
      </c>
      <c r="L101" s="52">
        <f t="shared" si="6"/>
        <v>0</v>
      </c>
      <c r="M101" s="52">
        <f t="shared" si="6"/>
        <v>0</v>
      </c>
      <c r="N101" s="52">
        <f t="shared" si="6"/>
        <v>0</v>
      </c>
      <c r="O101" s="52">
        <f t="shared" si="6"/>
        <v>0</v>
      </c>
      <c r="P101" s="52">
        <f t="shared" si="6"/>
        <v>0</v>
      </c>
    </row>
    <row r="102" spans="1:16" x14ac:dyDescent="0.25">
      <c r="A102" t="str">
        <f>CONCATENATE(Tablo1[[#This Row],[BLOK]]," ",Tablo1[[#This Row],[DAİRE]])</f>
        <v>C-BLOK DAİRE 33</v>
      </c>
      <c r="B102" t="s">
        <v>102</v>
      </c>
      <c r="C102" t="s">
        <v>104</v>
      </c>
      <c r="D102">
        <v>49</v>
      </c>
      <c r="E102" s="52">
        <f t="shared" si="6"/>
        <v>0</v>
      </c>
      <c r="F102" s="52">
        <f t="shared" si="6"/>
        <v>0</v>
      </c>
      <c r="G102" s="52">
        <f t="shared" si="6"/>
        <v>0</v>
      </c>
      <c r="H102" s="52">
        <f t="shared" si="6"/>
        <v>0</v>
      </c>
      <c r="I102" s="52">
        <f t="shared" si="6"/>
        <v>0</v>
      </c>
      <c r="J102" s="52">
        <f t="shared" si="6"/>
        <v>0</v>
      </c>
      <c r="K102" s="52">
        <f t="shared" si="6"/>
        <v>0</v>
      </c>
      <c r="L102" s="52">
        <f t="shared" si="6"/>
        <v>0</v>
      </c>
      <c r="M102" s="52">
        <f t="shared" si="6"/>
        <v>0</v>
      </c>
      <c r="N102" s="52">
        <f t="shared" si="6"/>
        <v>0</v>
      </c>
      <c r="O102" s="52">
        <f t="shared" si="6"/>
        <v>0</v>
      </c>
      <c r="P102" s="52">
        <f t="shared" si="6"/>
        <v>0</v>
      </c>
    </row>
    <row r="103" spans="1:16" x14ac:dyDescent="0.25">
      <c r="A103" t="str">
        <f>CONCATENATE(Tablo1[[#This Row],[BLOK]]," ",Tablo1[[#This Row],[DAİRE]])</f>
        <v>C-BLOK DAİRE 34</v>
      </c>
      <c r="B103" t="s">
        <v>102</v>
      </c>
      <c r="C103" t="s">
        <v>107</v>
      </c>
      <c r="D103">
        <v>101</v>
      </c>
      <c r="E103" s="52">
        <f t="shared" si="6"/>
        <v>0</v>
      </c>
      <c r="F103" s="52">
        <f t="shared" si="6"/>
        <v>0</v>
      </c>
      <c r="G103" s="52">
        <f t="shared" si="6"/>
        <v>0</v>
      </c>
      <c r="H103" s="52">
        <f t="shared" si="6"/>
        <v>0</v>
      </c>
      <c r="I103" s="52">
        <f t="shared" si="6"/>
        <v>0</v>
      </c>
      <c r="J103" s="52">
        <f t="shared" si="6"/>
        <v>0</v>
      </c>
      <c r="K103" s="52">
        <f t="shared" si="6"/>
        <v>0</v>
      </c>
      <c r="L103" s="52">
        <f t="shared" si="6"/>
        <v>0</v>
      </c>
      <c r="M103" s="52">
        <f t="shared" si="6"/>
        <v>0</v>
      </c>
      <c r="N103" s="52">
        <f t="shared" si="6"/>
        <v>0</v>
      </c>
      <c r="O103" s="52">
        <f t="shared" si="6"/>
        <v>0</v>
      </c>
      <c r="P103" s="52">
        <f t="shared" si="6"/>
        <v>0</v>
      </c>
    </row>
    <row r="104" spans="1:16" x14ac:dyDescent="0.25">
      <c r="A104" t="str">
        <f>CONCATENATE(Tablo1[[#This Row],[BLOK]]," ",Tablo1[[#This Row],[DAİRE]])</f>
        <v>C-BLOK DAİRE 35</v>
      </c>
      <c r="B104" t="s">
        <v>102</v>
      </c>
      <c r="C104" t="s">
        <v>110</v>
      </c>
      <c r="D104">
        <v>100</v>
      </c>
      <c r="E104" s="52">
        <f t="shared" si="6"/>
        <v>0</v>
      </c>
      <c r="F104" s="52">
        <f t="shared" si="6"/>
        <v>0</v>
      </c>
      <c r="G104" s="52">
        <f t="shared" si="6"/>
        <v>0</v>
      </c>
      <c r="H104" s="52">
        <f t="shared" si="6"/>
        <v>0</v>
      </c>
      <c r="I104" s="52">
        <f t="shared" si="6"/>
        <v>0</v>
      </c>
      <c r="J104" s="52">
        <f t="shared" si="6"/>
        <v>0</v>
      </c>
      <c r="K104" s="52">
        <f t="shared" si="6"/>
        <v>0</v>
      </c>
      <c r="L104" s="52">
        <f t="shared" si="6"/>
        <v>0</v>
      </c>
      <c r="M104" s="52">
        <f t="shared" si="6"/>
        <v>0</v>
      </c>
      <c r="N104" s="52">
        <f t="shared" si="6"/>
        <v>0</v>
      </c>
      <c r="O104" s="52">
        <f t="shared" si="6"/>
        <v>0</v>
      </c>
      <c r="P104" s="52">
        <f t="shared" si="6"/>
        <v>0</v>
      </c>
    </row>
    <row r="105" spans="1:16" x14ac:dyDescent="0.25">
      <c r="A105" t="str">
        <f>CONCATENATE(Tablo1[[#This Row],[BLOK]]," ",Tablo1[[#This Row],[DAİRE]])</f>
        <v>C-BLOK DAİRE 36</v>
      </c>
      <c r="B105" t="s">
        <v>102</v>
      </c>
      <c r="C105" t="s">
        <v>113</v>
      </c>
      <c r="D105">
        <v>51</v>
      </c>
      <c r="E105" s="52">
        <f t="shared" si="6"/>
        <v>0</v>
      </c>
      <c r="F105" s="52">
        <f t="shared" si="6"/>
        <v>0</v>
      </c>
      <c r="G105" s="52">
        <f t="shared" si="6"/>
        <v>0</v>
      </c>
      <c r="H105" s="52">
        <f t="shared" si="6"/>
        <v>0</v>
      </c>
      <c r="I105" s="52">
        <f t="shared" si="6"/>
        <v>0</v>
      </c>
      <c r="J105" s="52">
        <f t="shared" si="6"/>
        <v>0</v>
      </c>
      <c r="K105" s="52">
        <f t="shared" si="6"/>
        <v>0</v>
      </c>
      <c r="L105" s="52">
        <f t="shared" si="6"/>
        <v>0</v>
      </c>
      <c r="M105" s="52">
        <f t="shared" si="6"/>
        <v>0</v>
      </c>
      <c r="N105" s="52">
        <f t="shared" si="6"/>
        <v>0</v>
      </c>
      <c r="O105" s="52">
        <f t="shared" si="6"/>
        <v>0</v>
      </c>
      <c r="P105" s="52">
        <f t="shared" si="6"/>
        <v>0</v>
      </c>
    </row>
    <row r="106" spans="1:16" x14ac:dyDescent="0.25">
      <c r="A106" t="str">
        <f>CONCATENATE(Tablo1[[#This Row],[BLOK]]," ",Tablo1[[#This Row],[DAİRE]])</f>
        <v>C-BLOK DAİRE 37</v>
      </c>
      <c r="B106" t="s">
        <v>102</v>
      </c>
      <c r="C106" t="s">
        <v>115</v>
      </c>
      <c r="D106">
        <v>97</v>
      </c>
      <c r="E106" s="52">
        <f t="shared" si="6"/>
        <v>0</v>
      </c>
      <c r="F106" s="52">
        <f t="shared" si="6"/>
        <v>0</v>
      </c>
      <c r="G106" s="52">
        <f t="shared" si="6"/>
        <v>0</v>
      </c>
      <c r="H106" s="52">
        <f t="shared" si="6"/>
        <v>0</v>
      </c>
      <c r="I106" s="52">
        <f t="shared" si="6"/>
        <v>0</v>
      </c>
      <c r="J106" s="52">
        <f t="shared" si="6"/>
        <v>0</v>
      </c>
      <c r="K106" s="52">
        <f t="shared" si="6"/>
        <v>0</v>
      </c>
      <c r="L106" s="52">
        <f t="shared" si="6"/>
        <v>0</v>
      </c>
      <c r="M106" s="52">
        <f t="shared" si="6"/>
        <v>0</v>
      </c>
      <c r="N106" s="52">
        <f t="shared" si="6"/>
        <v>0</v>
      </c>
      <c r="O106" s="52">
        <f t="shared" si="6"/>
        <v>0</v>
      </c>
      <c r="P106" s="52">
        <f t="shared" si="6"/>
        <v>0</v>
      </c>
    </row>
    <row r="107" spans="1:16" x14ac:dyDescent="0.25">
      <c r="A107" t="str">
        <f>CONCATENATE(Tablo1[[#This Row],[BLOK]]," ",Tablo1[[#This Row],[DAİRE]])</f>
        <v>C-BLOK DAİRE 38</v>
      </c>
      <c r="B107" t="s">
        <v>102</v>
      </c>
      <c r="C107" t="s">
        <v>117</v>
      </c>
      <c r="D107">
        <v>100</v>
      </c>
      <c r="E107" s="52">
        <f t="shared" si="6"/>
        <v>0</v>
      </c>
      <c r="F107" s="52">
        <f t="shared" si="6"/>
        <v>0</v>
      </c>
      <c r="G107" s="52">
        <f t="shared" si="6"/>
        <v>0</v>
      </c>
      <c r="H107" s="52">
        <f t="shared" si="6"/>
        <v>0</v>
      </c>
      <c r="I107" s="52">
        <f t="shared" si="6"/>
        <v>0</v>
      </c>
      <c r="J107" s="52">
        <f t="shared" si="6"/>
        <v>0</v>
      </c>
      <c r="K107" s="52">
        <f t="shared" si="6"/>
        <v>0</v>
      </c>
      <c r="L107" s="52">
        <f t="shared" si="6"/>
        <v>0</v>
      </c>
      <c r="M107" s="52">
        <f t="shared" si="6"/>
        <v>0</v>
      </c>
      <c r="N107" s="52">
        <f t="shared" si="6"/>
        <v>0</v>
      </c>
      <c r="O107" s="52">
        <f t="shared" si="6"/>
        <v>0</v>
      </c>
      <c r="P107" s="52">
        <f t="shared" si="6"/>
        <v>0</v>
      </c>
    </row>
    <row r="108" spans="1:16" x14ac:dyDescent="0.25">
      <c r="A108" t="str">
        <f>CONCATENATE(Tablo1[[#This Row],[BLOK]]," ",Tablo1[[#This Row],[DAİRE]])</f>
        <v>C-BLOK DAİRE 39</v>
      </c>
      <c r="B108" t="s">
        <v>102</v>
      </c>
      <c r="C108" t="s">
        <v>119</v>
      </c>
      <c r="D108">
        <v>49</v>
      </c>
      <c r="E108" s="52">
        <f t="shared" si="6"/>
        <v>0</v>
      </c>
      <c r="F108" s="52">
        <f t="shared" si="6"/>
        <v>0</v>
      </c>
      <c r="G108" s="52">
        <f t="shared" si="6"/>
        <v>0</v>
      </c>
      <c r="H108" s="52">
        <f t="shared" si="6"/>
        <v>0</v>
      </c>
      <c r="I108" s="52">
        <f t="shared" si="6"/>
        <v>0</v>
      </c>
      <c r="J108" s="52">
        <f t="shared" si="6"/>
        <v>0</v>
      </c>
      <c r="K108" s="52">
        <f t="shared" si="6"/>
        <v>0</v>
      </c>
      <c r="L108" s="52">
        <f t="shared" si="6"/>
        <v>0</v>
      </c>
      <c r="M108" s="52">
        <f t="shared" si="6"/>
        <v>0</v>
      </c>
      <c r="N108" s="52">
        <f t="shared" si="6"/>
        <v>0</v>
      </c>
      <c r="O108" s="52">
        <f t="shared" si="6"/>
        <v>0</v>
      </c>
      <c r="P108" s="52">
        <f t="shared" si="6"/>
        <v>0</v>
      </c>
    </row>
    <row r="109" spans="1:16" x14ac:dyDescent="0.25">
      <c r="A109" t="str">
        <f>CONCATENATE(Tablo1[[#This Row],[BLOK]]," ",Tablo1[[#This Row],[DAİRE]])</f>
        <v>C-BLOK DAİRE 40</v>
      </c>
      <c r="B109" t="s">
        <v>102</v>
      </c>
      <c r="C109" t="s">
        <v>121</v>
      </c>
      <c r="D109">
        <v>49</v>
      </c>
      <c r="E109" s="52">
        <f t="shared" si="6"/>
        <v>0</v>
      </c>
      <c r="F109" s="52">
        <f t="shared" si="6"/>
        <v>0</v>
      </c>
      <c r="G109" s="52">
        <f t="shared" si="6"/>
        <v>0</v>
      </c>
      <c r="H109" s="52">
        <f t="shared" si="6"/>
        <v>0</v>
      </c>
      <c r="I109" s="52">
        <f t="shared" si="6"/>
        <v>0</v>
      </c>
      <c r="J109" s="52">
        <f t="shared" si="6"/>
        <v>0</v>
      </c>
      <c r="K109" s="52">
        <f t="shared" si="6"/>
        <v>0</v>
      </c>
      <c r="L109" s="52">
        <f t="shared" si="6"/>
        <v>0</v>
      </c>
      <c r="M109" s="52">
        <f t="shared" si="6"/>
        <v>0</v>
      </c>
      <c r="N109" s="52">
        <f t="shared" si="6"/>
        <v>0</v>
      </c>
      <c r="O109" s="52">
        <f t="shared" si="6"/>
        <v>0</v>
      </c>
      <c r="P109" s="52">
        <f t="shared" si="6"/>
        <v>0</v>
      </c>
    </row>
    <row r="110" spans="1:16" x14ac:dyDescent="0.25">
      <c r="A110" t="str">
        <f>CONCATENATE(Tablo1[[#This Row],[BLOK]]," ",Tablo1[[#This Row],[DAİRE]])</f>
        <v>C-BLOK DAİRE 41</v>
      </c>
      <c r="B110" t="s">
        <v>102</v>
      </c>
      <c r="C110" t="s">
        <v>123</v>
      </c>
      <c r="D110">
        <v>101</v>
      </c>
      <c r="E110" s="52">
        <f t="shared" si="6"/>
        <v>0</v>
      </c>
      <c r="F110" s="52">
        <f t="shared" si="6"/>
        <v>0</v>
      </c>
      <c r="G110" s="52">
        <f t="shared" si="6"/>
        <v>0</v>
      </c>
      <c r="H110" s="52">
        <f t="shared" si="6"/>
        <v>0</v>
      </c>
      <c r="I110" s="52">
        <f t="shared" si="6"/>
        <v>0</v>
      </c>
      <c r="J110" s="52">
        <f t="shared" si="6"/>
        <v>0</v>
      </c>
      <c r="K110" s="52">
        <f t="shared" si="6"/>
        <v>0</v>
      </c>
      <c r="L110" s="52">
        <f t="shared" si="6"/>
        <v>0</v>
      </c>
      <c r="M110" s="52">
        <f t="shared" si="6"/>
        <v>0</v>
      </c>
      <c r="N110" s="52">
        <f t="shared" si="6"/>
        <v>0</v>
      </c>
      <c r="O110" s="52">
        <f t="shared" si="6"/>
        <v>0</v>
      </c>
      <c r="P110" s="52">
        <f t="shared" si="6"/>
        <v>0</v>
      </c>
    </row>
    <row r="111" spans="1:16" x14ac:dyDescent="0.25">
      <c r="A111" t="str">
        <f>CONCATENATE(Tablo1[[#This Row],[BLOK]]," ",Tablo1[[#This Row],[DAİRE]])</f>
        <v>C-BLOK DAİRE 42</v>
      </c>
      <c r="B111" t="s">
        <v>102</v>
      </c>
      <c r="C111" t="s">
        <v>125</v>
      </c>
      <c r="D111">
        <v>100</v>
      </c>
      <c r="E111" s="52">
        <f t="shared" si="6"/>
        <v>0</v>
      </c>
      <c r="F111" s="52">
        <f t="shared" si="6"/>
        <v>0</v>
      </c>
      <c r="G111" s="52">
        <f t="shared" si="6"/>
        <v>0</v>
      </c>
      <c r="H111" s="52">
        <f t="shared" si="6"/>
        <v>0</v>
      </c>
      <c r="I111" s="52">
        <f t="shared" si="6"/>
        <v>0</v>
      </c>
      <c r="J111" s="52">
        <f t="shared" si="6"/>
        <v>0</v>
      </c>
      <c r="K111" s="52">
        <f t="shared" si="6"/>
        <v>0</v>
      </c>
      <c r="L111" s="52">
        <f t="shared" si="6"/>
        <v>0</v>
      </c>
      <c r="M111" s="52">
        <f t="shared" si="6"/>
        <v>0</v>
      </c>
      <c r="N111" s="52">
        <f t="shared" si="6"/>
        <v>0</v>
      </c>
      <c r="O111" s="52">
        <f t="shared" si="6"/>
        <v>0</v>
      </c>
      <c r="P111" s="52">
        <f t="shared" si="6"/>
        <v>0</v>
      </c>
    </row>
    <row r="112" spans="1:16" x14ac:dyDescent="0.25">
      <c r="A112" t="str">
        <f>CONCATENATE(Tablo1[[#This Row],[BLOK]]," ",Tablo1[[#This Row],[DAİRE]])</f>
        <v>C-BLOK DAİRE 43</v>
      </c>
      <c r="B112" t="s">
        <v>102</v>
      </c>
      <c r="C112" t="s">
        <v>127</v>
      </c>
      <c r="D112">
        <v>51</v>
      </c>
      <c r="E112" s="52">
        <f t="shared" si="6"/>
        <v>0</v>
      </c>
      <c r="F112" s="52">
        <f t="shared" si="6"/>
        <v>0</v>
      </c>
      <c r="G112" s="52">
        <f t="shared" si="6"/>
        <v>0</v>
      </c>
      <c r="H112" s="52">
        <f t="shared" si="6"/>
        <v>0</v>
      </c>
      <c r="I112" s="52">
        <f t="shared" si="6"/>
        <v>0</v>
      </c>
      <c r="J112" s="52">
        <f t="shared" si="6"/>
        <v>0</v>
      </c>
      <c r="K112" s="52">
        <f t="shared" si="6"/>
        <v>0</v>
      </c>
      <c r="L112" s="52">
        <f t="shared" si="6"/>
        <v>0</v>
      </c>
      <c r="M112" s="52">
        <f t="shared" si="6"/>
        <v>0</v>
      </c>
      <c r="N112" s="52">
        <f t="shared" si="6"/>
        <v>0</v>
      </c>
      <c r="O112" s="52">
        <f t="shared" si="6"/>
        <v>0</v>
      </c>
      <c r="P112" s="52">
        <f t="shared" si="6"/>
        <v>0</v>
      </c>
    </row>
    <row r="113" spans="1:16" x14ac:dyDescent="0.25">
      <c r="A113" t="str">
        <f>CONCATENATE(Tablo1[[#This Row],[BLOK]]," ",Tablo1[[#This Row],[DAİRE]])</f>
        <v>C-BLOK DAİRE 44</v>
      </c>
      <c r="B113" t="s">
        <v>102</v>
      </c>
      <c r="C113" t="s">
        <v>129</v>
      </c>
      <c r="D113">
        <v>97</v>
      </c>
      <c r="E113" s="52">
        <f t="shared" si="6"/>
        <v>0</v>
      </c>
      <c r="F113" s="52">
        <f t="shared" si="6"/>
        <v>0</v>
      </c>
      <c r="G113" s="52">
        <f t="shared" si="6"/>
        <v>0</v>
      </c>
      <c r="H113" s="52">
        <f t="shared" ref="E113:P125" si="7">ROUNDUP(H$4*$D113,1)</f>
        <v>0</v>
      </c>
      <c r="I113" s="52">
        <f t="shared" si="7"/>
        <v>0</v>
      </c>
      <c r="J113" s="52">
        <f t="shared" si="7"/>
        <v>0</v>
      </c>
      <c r="K113" s="52">
        <f t="shared" si="7"/>
        <v>0</v>
      </c>
      <c r="L113" s="52">
        <f t="shared" si="7"/>
        <v>0</v>
      </c>
      <c r="M113" s="52">
        <f t="shared" si="7"/>
        <v>0</v>
      </c>
      <c r="N113" s="52">
        <f t="shared" si="7"/>
        <v>0</v>
      </c>
      <c r="O113" s="52">
        <f t="shared" si="7"/>
        <v>0</v>
      </c>
      <c r="P113" s="52">
        <f t="shared" si="7"/>
        <v>0</v>
      </c>
    </row>
    <row r="114" spans="1:16" x14ac:dyDescent="0.25">
      <c r="A114" t="str">
        <f>CONCATENATE(Tablo1[[#This Row],[BLOK]]," ",Tablo1[[#This Row],[DAİRE]])</f>
        <v>C-BLOK DAİRE 45</v>
      </c>
      <c r="B114" t="s">
        <v>102</v>
      </c>
      <c r="C114" t="s">
        <v>131</v>
      </c>
      <c r="D114">
        <v>100</v>
      </c>
      <c r="E114" s="52">
        <f t="shared" si="7"/>
        <v>0</v>
      </c>
      <c r="F114" s="52">
        <f t="shared" si="7"/>
        <v>0</v>
      </c>
      <c r="G114" s="52">
        <f t="shared" si="7"/>
        <v>0</v>
      </c>
      <c r="H114" s="52">
        <f t="shared" si="7"/>
        <v>0</v>
      </c>
      <c r="I114" s="52">
        <f t="shared" si="7"/>
        <v>0</v>
      </c>
      <c r="J114" s="52">
        <f t="shared" si="7"/>
        <v>0</v>
      </c>
      <c r="K114" s="52">
        <f t="shared" si="7"/>
        <v>0</v>
      </c>
      <c r="L114" s="52">
        <f t="shared" si="7"/>
        <v>0</v>
      </c>
      <c r="M114" s="52">
        <f t="shared" si="7"/>
        <v>0</v>
      </c>
      <c r="N114" s="52">
        <f t="shared" si="7"/>
        <v>0</v>
      </c>
      <c r="O114" s="52">
        <f t="shared" si="7"/>
        <v>0</v>
      </c>
      <c r="P114" s="52">
        <f t="shared" si="7"/>
        <v>0</v>
      </c>
    </row>
    <row r="115" spans="1:16" x14ac:dyDescent="0.25">
      <c r="A115" t="str">
        <f>CONCATENATE(Tablo1[[#This Row],[BLOK]]," ",Tablo1[[#This Row],[DAİRE]])</f>
        <v>C-BLOK DAİRE 46</v>
      </c>
      <c r="B115" t="s">
        <v>102</v>
      </c>
      <c r="C115" t="s">
        <v>133</v>
      </c>
      <c r="D115">
        <v>49</v>
      </c>
      <c r="E115" s="52">
        <f t="shared" si="7"/>
        <v>0</v>
      </c>
      <c r="F115" s="52">
        <f t="shared" si="7"/>
        <v>0</v>
      </c>
      <c r="G115" s="52">
        <f t="shared" si="7"/>
        <v>0</v>
      </c>
      <c r="H115" s="52">
        <f t="shared" si="7"/>
        <v>0</v>
      </c>
      <c r="I115" s="52">
        <f t="shared" si="7"/>
        <v>0</v>
      </c>
      <c r="J115" s="52">
        <f t="shared" si="7"/>
        <v>0</v>
      </c>
      <c r="K115" s="52">
        <f t="shared" si="7"/>
        <v>0</v>
      </c>
      <c r="L115" s="52">
        <f t="shared" si="7"/>
        <v>0</v>
      </c>
      <c r="M115" s="52">
        <f t="shared" si="7"/>
        <v>0</v>
      </c>
      <c r="N115" s="52">
        <f t="shared" si="7"/>
        <v>0</v>
      </c>
      <c r="O115" s="52">
        <f t="shared" si="7"/>
        <v>0</v>
      </c>
      <c r="P115" s="52">
        <f t="shared" si="7"/>
        <v>0</v>
      </c>
    </row>
    <row r="116" spans="1:16" x14ac:dyDescent="0.25">
      <c r="A116" t="str">
        <f>CONCATENATE(Tablo1[[#This Row],[BLOK]]," ",Tablo1[[#This Row],[DAİRE]])</f>
        <v>C-BLOK DAİRE 47</v>
      </c>
      <c r="B116" t="s">
        <v>102</v>
      </c>
      <c r="C116" t="s">
        <v>135</v>
      </c>
      <c r="D116">
        <v>49</v>
      </c>
      <c r="E116" s="52">
        <f t="shared" si="7"/>
        <v>0</v>
      </c>
      <c r="F116" s="52">
        <f t="shared" si="7"/>
        <v>0</v>
      </c>
      <c r="G116" s="52">
        <f t="shared" si="7"/>
        <v>0</v>
      </c>
      <c r="H116" s="52">
        <f t="shared" si="7"/>
        <v>0</v>
      </c>
      <c r="I116" s="52">
        <f t="shared" si="7"/>
        <v>0</v>
      </c>
      <c r="J116" s="52">
        <f t="shared" si="7"/>
        <v>0</v>
      </c>
      <c r="K116" s="52">
        <f t="shared" si="7"/>
        <v>0</v>
      </c>
      <c r="L116" s="52">
        <f t="shared" si="7"/>
        <v>0</v>
      </c>
      <c r="M116" s="52">
        <f t="shared" si="7"/>
        <v>0</v>
      </c>
      <c r="N116" s="52">
        <f t="shared" si="7"/>
        <v>0</v>
      </c>
      <c r="O116" s="52">
        <f t="shared" si="7"/>
        <v>0</v>
      </c>
      <c r="P116" s="52">
        <f t="shared" si="7"/>
        <v>0</v>
      </c>
    </row>
    <row r="117" spans="1:16" x14ac:dyDescent="0.25">
      <c r="A117" t="str">
        <f>CONCATENATE(Tablo1[[#This Row],[BLOK]]," ",Tablo1[[#This Row],[DAİRE]])</f>
        <v>C-BLOK DAİRE 48</v>
      </c>
      <c r="B117" t="s">
        <v>102</v>
      </c>
      <c r="C117" t="s">
        <v>137</v>
      </c>
      <c r="D117">
        <v>101</v>
      </c>
      <c r="E117" s="52">
        <f t="shared" si="7"/>
        <v>0</v>
      </c>
      <c r="F117" s="52">
        <f t="shared" si="7"/>
        <v>0</v>
      </c>
      <c r="G117" s="52">
        <f t="shared" si="7"/>
        <v>0</v>
      </c>
      <c r="H117" s="52">
        <f t="shared" si="7"/>
        <v>0</v>
      </c>
      <c r="I117" s="52">
        <f t="shared" si="7"/>
        <v>0</v>
      </c>
      <c r="J117" s="52">
        <f t="shared" si="7"/>
        <v>0</v>
      </c>
      <c r="K117" s="52">
        <f t="shared" si="7"/>
        <v>0</v>
      </c>
      <c r="L117" s="52">
        <f t="shared" si="7"/>
        <v>0</v>
      </c>
      <c r="M117" s="52">
        <f t="shared" si="7"/>
        <v>0</v>
      </c>
      <c r="N117" s="52">
        <f t="shared" si="7"/>
        <v>0</v>
      </c>
      <c r="O117" s="52">
        <f t="shared" si="7"/>
        <v>0</v>
      </c>
      <c r="P117" s="52">
        <f t="shared" si="7"/>
        <v>0</v>
      </c>
    </row>
    <row r="118" spans="1:16" x14ac:dyDescent="0.25">
      <c r="A118" t="str">
        <f>CONCATENATE(Tablo1[[#This Row],[BLOK]]," ",Tablo1[[#This Row],[DAİRE]])</f>
        <v>C-BLOK DAİRE 49</v>
      </c>
      <c r="B118" t="s">
        <v>102</v>
      </c>
      <c r="C118" t="s">
        <v>139</v>
      </c>
      <c r="D118">
        <v>100</v>
      </c>
      <c r="E118" s="52">
        <f t="shared" si="7"/>
        <v>0</v>
      </c>
      <c r="F118" s="52">
        <f t="shared" si="7"/>
        <v>0</v>
      </c>
      <c r="G118" s="52">
        <f t="shared" si="7"/>
        <v>0</v>
      </c>
      <c r="H118" s="52">
        <f t="shared" si="7"/>
        <v>0</v>
      </c>
      <c r="I118" s="52">
        <f t="shared" si="7"/>
        <v>0</v>
      </c>
      <c r="J118" s="52">
        <f t="shared" si="7"/>
        <v>0</v>
      </c>
      <c r="K118" s="52">
        <f t="shared" si="7"/>
        <v>0</v>
      </c>
      <c r="L118" s="52">
        <f t="shared" si="7"/>
        <v>0</v>
      </c>
      <c r="M118" s="52">
        <f t="shared" si="7"/>
        <v>0</v>
      </c>
      <c r="N118" s="52">
        <f t="shared" si="7"/>
        <v>0</v>
      </c>
      <c r="O118" s="52">
        <f t="shared" si="7"/>
        <v>0</v>
      </c>
      <c r="P118" s="52">
        <f t="shared" si="7"/>
        <v>0</v>
      </c>
    </row>
    <row r="119" spans="1:16" x14ac:dyDescent="0.25">
      <c r="A119" t="str">
        <f>CONCATENATE(Tablo1[[#This Row],[BLOK]]," ",Tablo1[[#This Row],[DAİRE]])</f>
        <v>C-BLOK DAİRE 50</v>
      </c>
      <c r="B119" t="s">
        <v>102</v>
      </c>
      <c r="C119" t="s">
        <v>141</v>
      </c>
      <c r="D119">
        <v>51</v>
      </c>
      <c r="E119" s="52">
        <f t="shared" si="7"/>
        <v>0</v>
      </c>
      <c r="F119" s="52">
        <f t="shared" si="7"/>
        <v>0</v>
      </c>
      <c r="G119" s="52">
        <f t="shared" si="7"/>
        <v>0</v>
      </c>
      <c r="H119" s="52">
        <f t="shared" si="7"/>
        <v>0</v>
      </c>
      <c r="I119" s="52">
        <f t="shared" si="7"/>
        <v>0</v>
      </c>
      <c r="J119" s="52">
        <f t="shared" si="7"/>
        <v>0</v>
      </c>
      <c r="K119" s="52">
        <f t="shared" si="7"/>
        <v>0</v>
      </c>
      <c r="L119" s="52">
        <f t="shared" si="7"/>
        <v>0</v>
      </c>
      <c r="M119" s="52">
        <f t="shared" si="7"/>
        <v>0</v>
      </c>
      <c r="N119" s="52">
        <f t="shared" si="7"/>
        <v>0</v>
      </c>
      <c r="O119" s="52">
        <f t="shared" si="7"/>
        <v>0</v>
      </c>
      <c r="P119" s="52">
        <f t="shared" si="7"/>
        <v>0</v>
      </c>
    </row>
    <row r="120" spans="1:16" x14ac:dyDescent="0.25">
      <c r="A120" t="str">
        <f>CONCATENATE(Tablo1[[#This Row],[BLOK]]," ",Tablo1[[#This Row],[DAİRE]])</f>
        <v>C-BLOK DAİRE 51</v>
      </c>
      <c r="B120" t="s">
        <v>102</v>
      </c>
      <c r="C120" t="s">
        <v>143</v>
      </c>
      <c r="D120">
        <v>97</v>
      </c>
      <c r="E120" s="52">
        <f t="shared" si="7"/>
        <v>0</v>
      </c>
      <c r="F120" s="52">
        <f t="shared" si="7"/>
        <v>0</v>
      </c>
      <c r="G120" s="52">
        <f t="shared" si="7"/>
        <v>0</v>
      </c>
      <c r="H120" s="52">
        <f t="shared" si="7"/>
        <v>0</v>
      </c>
      <c r="I120" s="52">
        <f t="shared" si="7"/>
        <v>0</v>
      </c>
      <c r="J120" s="52">
        <f t="shared" si="7"/>
        <v>0</v>
      </c>
      <c r="K120" s="52">
        <f t="shared" si="7"/>
        <v>0</v>
      </c>
      <c r="L120" s="52">
        <f t="shared" si="7"/>
        <v>0</v>
      </c>
      <c r="M120" s="52">
        <f t="shared" si="7"/>
        <v>0</v>
      </c>
      <c r="N120" s="52">
        <f t="shared" si="7"/>
        <v>0</v>
      </c>
      <c r="O120" s="52">
        <f t="shared" si="7"/>
        <v>0</v>
      </c>
      <c r="P120" s="52">
        <f t="shared" si="7"/>
        <v>0</v>
      </c>
    </row>
    <row r="121" spans="1:16" x14ac:dyDescent="0.25">
      <c r="A121" t="str">
        <f>CONCATENATE(Tablo1[[#This Row],[BLOK]]," ",Tablo1[[#This Row],[DAİRE]])</f>
        <v>C-BLOK DAİRE 52</v>
      </c>
      <c r="B121" t="s">
        <v>102</v>
      </c>
      <c r="C121" t="s">
        <v>145</v>
      </c>
      <c r="D121">
        <v>100</v>
      </c>
      <c r="E121" s="52">
        <f t="shared" si="7"/>
        <v>0</v>
      </c>
      <c r="F121" s="52">
        <f t="shared" si="7"/>
        <v>0</v>
      </c>
      <c r="G121" s="52">
        <f t="shared" si="7"/>
        <v>0</v>
      </c>
      <c r="H121" s="52">
        <f t="shared" si="7"/>
        <v>0</v>
      </c>
      <c r="I121" s="52">
        <f t="shared" si="7"/>
        <v>0</v>
      </c>
      <c r="J121" s="52">
        <f t="shared" si="7"/>
        <v>0</v>
      </c>
      <c r="K121" s="52">
        <f t="shared" si="7"/>
        <v>0</v>
      </c>
      <c r="L121" s="52">
        <f t="shared" si="7"/>
        <v>0</v>
      </c>
      <c r="M121" s="52">
        <f t="shared" si="7"/>
        <v>0</v>
      </c>
      <c r="N121" s="52">
        <f t="shared" si="7"/>
        <v>0</v>
      </c>
      <c r="O121" s="52">
        <f t="shared" si="7"/>
        <v>0</v>
      </c>
      <c r="P121" s="52">
        <f t="shared" si="7"/>
        <v>0</v>
      </c>
    </row>
    <row r="122" spans="1:16" x14ac:dyDescent="0.25">
      <c r="A122" t="str">
        <f>CONCATENATE(Tablo1[[#This Row],[BLOK]]," ",Tablo1[[#This Row],[DAİRE]])</f>
        <v>C-BLOK DAİRE 53</v>
      </c>
      <c r="B122" t="s">
        <v>102</v>
      </c>
      <c r="C122" t="s">
        <v>147</v>
      </c>
      <c r="D122">
        <v>49</v>
      </c>
      <c r="E122" s="52">
        <f t="shared" si="7"/>
        <v>0</v>
      </c>
      <c r="F122" s="52">
        <f t="shared" si="7"/>
        <v>0</v>
      </c>
      <c r="G122" s="52">
        <f t="shared" si="7"/>
        <v>0</v>
      </c>
      <c r="H122" s="52">
        <f t="shared" si="7"/>
        <v>0</v>
      </c>
      <c r="I122" s="52">
        <f t="shared" si="7"/>
        <v>0</v>
      </c>
      <c r="J122" s="52">
        <f t="shared" si="7"/>
        <v>0</v>
      </c>
      <c r="K122" s="52">
        <f t="shared" si="7"/>
        <v>0</v>
      </c>
      <c r="L122" s="52">
        <f t="shared" si="7"/>
        <v>0</v>
      </c>
      <c r="M122" s="52">
        <f t="shared" si="7"/>
        <v>0</v>
      </c>
      <c r="N122" s="52">
        <f t="shared" si="7"/>
        <v>0</v>
      </c>
      <c r="O122" s="52">
        <f t="shared" si="7"/>
        <v>0</v>
      </c>
      <c r="P122" s="52">
        <f t="shared" si="7"/>
        <v>0</v>
      </c>
    </row>
    <row r="123" spans="1:16" x14ac:dyDescent="0.25">
      <c r="A123" t="str">
        <f>CONCATENATE(Tablo1[[#This Row],[BLOK]]," ",Tablo1[[#This Row],[DAİRE]])</f>
        <v>C-BLOK DAİRE 54</v>
      </c>
      <c r="B123" t="s">
        <v>102</v>
      </c>
      <c r="C123" t="s">
        <v>149</v>
      </c>
      <c r="D123">
        <v>49</v>
      </c>
      <c r="E123" s="52">
        <f t="shared" si="7"/>
        <v>0</v>
      </c>
      <c r="F123" s="52">
        <f t="shared" si="7"/>
        <v>0</v>
      </c>
      <c r="G123" s="52">
        <f t="shared" si="7"/>
        <v>0</v>
      </c>
      <c r="H123" s="52">
        <f t="shared" si="7"/>
        <v>0</v>
      </c>
      <c r="I123" s="52">
        <f t="shared" si="7"/>
        <v>0</v>
      </c>
      <c r="J123" s="52">
        <f t="shared" si="7"/>
        <v>0</v>
      </c>
      <c r="K123" s="52">
        <f t="shared" si="7"/>
        <v>0</v>
      </c>
      <c r="L123" s="52">
        <f t="shared" si="7"/>
        <v>0</v>
      </c>
      <c r="M123" s="52">
        <f t="shared" si="7"/>
        <v>0</v>
      </c>
      <c r="N123" s="52">
        <f t="shared" si="7"/>
        <v>0</v>
      </c>
      <c r="O123" s="52">
        <f t="shared" si="7"/>
        <v>0</v>
      </c>
      <c r="P123" s="52">
        <f t="shared" si="7"/>
        <v>0</v>
      </c>
    </row>
    <row r="124" spans="1:16" x14ac:dyDescent="0.25">
      <c r="A124" t="str">
        <f>CONCATENATE(Tablo1[[#This Row],[BLOK]]," ",Tablo1[[#This Row],[DAİRE]])</f>
        <v>C-BLOK DAİRE 55</v>
      </c>
      <c r="B124" t="s">
        <v>102</v>
      </c>
      <c r="C124" t="s">
        <v>151</v>
      </c>
      <c r="D124">
        <v>101</v>
      </c>
      <c r="E124" s="52">
        <f t="shared" si="7"/>
        <v>0</v>
      </c>
      <c r="F124" s="52">
        <f t="shared" si="7"/>
        <v>0</v>
      </c>
      <c r="G124" s="52">
        <f t="shared" si="7"/>
        <v>0</v>
      </c>
      <c r="H124" s="52">
        <f t="shared" si="7"/>
        <v>0</v>
      </c>
      <c r="I124" s="52">
        <f t="shared" si="7"/>
        <v>0</v>
      </c>
      <c r="J124" s="52">
        <f t="shared" si="7"/>
        <v>0</v>
      </c>
      <c r="K124" s="52">
        <f t="shared" si="7"/>
        <v>0</v>
      </c>
      <c r="L124" s="52">
        <f t="shared" si="7"/>
        <v>0</v>
      </c>
      <c r="M124" s="52">
        <f t="shared" si="7"/>
        <v>0</v>
      </c>
      <c r="N124" s="52">
        <f t="shared" si="7"/>
        <v>0</v>
      </c>
      <c r="O124" s="52">
        <f t="shared" si="7"/>
        <v>0</v>
      </c>
      <c r="P124" s="52">
        <f t="shared" si="7"/>
        <v>0</v>
      </c>
    </row>
    <row r="125" spans="1:16" x14ac:dyDescent="0.25">
      <c r="A125" t="str">
        <f>CONCATENATE(Tablo1[[#This Row],[BLOK]]," ",Tablo1[[#This Row],[DAİRE]])</f>
        <v>C-BLOK DAİRE 56</v>
      </c>
      <c r="B125" t="s">
        <v>102</v>
      </c>
      <c r="C125" t="s">
        <v>153</v>
      </c>
      <c r="D125">
        <v>100</v>
      </c>
      <c r="E125" s="52">
        <f t="shared" si="7"/>
        <v>0</v>
      </c>
      <c r="F125" s="52">
        <f t="shared" si="7"/>
        <v>0</v>
      </c>
      <c r="G125" s="52">
        <f t="shared" si="7"/>
        <v>0</v>
      </c>
      <c r="H125" s="52">
        <f t="shared" si="7"/>
        <v>0</v>
      </c>
      <c r="I125" s="52">
        <f t="shared" si="7"/>
        <v>0</v>
      </c>
      <c r="J125" s="52">
        <f t="shared" si="7"/>
        <v>0</v>
      </c>
      <c r="K125" s="52">
        <f t="shared" si="7"/>
        <v>0</v>
      </c>
      <c r="L125" s="52">
        <f t="shared" si="7"/>
        <v>0</v>
      </c>
      <c r="M125" s="52">
        <f t="shared" si="7"/>
        <v>0</v>
      </c>
      <c r="N125" s="52">
        <f t="shared" si="7"/>
        <v>0</v>
      </c>
      <c r="O125" s="52">
        <f t="shared" si="7"/>
        <v>0</v>
      </c>
      <c r="P125" s="52">
        <f t="shared" si="7"/>
        <v>0</v>
      </c>
    </row>
    <row r="126" spans="1:16" x14ac:dyDescent="0.25">
      <c r="B126" t="s">
        <v>184</v>
      </c>
      <c r="E126" s="52">
        <f>SUBTOTAL(109,Tablo1[1.01.2024])</f>
        <v>0</v>
      </c>
      <c r="F126" s="52">
        <f>SUBTOTAL(109,Tablo1[1.02.2024])</f>
        <v>0</v>
      </c>
      <c r="G126" s="52">
        <f>SUBTOTAL(109,Tablo1[1.03.2024])</f>
        <v>0</v>
      </c>
      <c r="H126" s="52">
        <f>SUBTOTAL(109,Tablo1[1.04.2024])</f>
        <v>0</v>
      </c>
      <c r="I126" s="52">
        <f>SUBTOTAL(109,Tablo1[1.05.2024])</f>
        <v>0</v>
      </c>
      <c r="J126" s="52">
        <f>SUBTOTAL(109,Tablo1[1.06.2024])</f>
        <v>0</v>
      </c>
      <c r="K126" s="52">
        <f>SUBTOTAL(109,Tablo1[1.07.2024])</f>
        <v>0</v>
      </c>
      <c r="L126" s="52">
        <f>SUBTOTAL(109,Tablo1[1.08.2024])</f>
        <v>0</v>
      </c>
      <c r="M126" s="52">
        <f>SUBTOTAL(109,Tablo1[1.09.2024])</f>
        <v>0</v>
      </c>
      <c r="N126" s="52">
        <f>SUBTOTAL(109,Tablo1[1.10.2024])</f>
        <v>0</v>
      </c>
      <c r="O126" s="52">
        <f>SUBTOTAL(109,Tablo1[1.11.2024])</f>
        <v>0</v>
      </c>
      <c r="P126" s="52">
        <f>SUBTOTAL(109,Tablo1[1.12.2024])</f>
        <v>0</v>
      </c>
    </row>
  </sheetData>
  <mergeCells count="3">
    <mergeCell ref="B3:D3"/>
    <mergeCell ref="B2:D2"/>
    <mergeCell ref="B1:D1"/>
  </mergeCells>
  <phoneticPr fontId="2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1"/>
  <sheetViews>
    <sheetView view="pageBreakPreview" zoomScale="60" zoomScaleNormal="50" zoomScalePageLayoutView="59" workbookViewId="0">
      <selection activeCell="G48" sqref="G48"/>
    </sheetView>
  </sheetViews>
  <sheetFormatPr defaultColWidth="8.85546875" defaultRowHeight="21" x14ac:dyDescent="0.25"/>
  <cols>
    <col min="1" max="1" width="10.140625" style="1" bestFit="1" customWidth="1"/>
    <col min="2" max="2" width="11.140625" style="1" bestFit="1" customWidth="1"/>
    <col min="3" max="3" width="16.5703125" style="1" bestFit="1" customWidth="1"/>
    <col min="4" max="4" width="22.28515625" style="1" bestFit="1" customWidth="1"/>
    <col min="5" max="5" width="14.7109375" style="1" bestFit="1" customWidth="1"/>
    <col min="6" max="6" width="7.7109375" style="1" bestFit="1" customWidth="1"/>
    <col min="7" max="7" width="70.140625" style="1" bestFit="1" customWidth="1"/>
    <col min="8" max="8" width="24.140625" style="1" bestFit="1" customWidth="1"/>
    <col min="9" max="9" width="22.7109375" style="1" bestFit="1" customWidth="1"/>
    <col min="10" max="10" width="54.42578125" style="2" bestFit="1" customWidth="1"/>
    <col min="11" max="11" width="24.140625" style="1" bestFit="1" customWidth="1"/>
    <col min="12" max="12" width="46.5703125" style="26" bestFit="1" customWidth="1"/>
    <col min="13" max="13" width="25.5703125" style="1" bestFit="1" customWidth="1"/>
    <col min="14" max="16384" width="8.85546875" style="1"/>
  </cols>
  <sheetData>
    <row r="1" spans="1:13" thickBot="1" x14ac:dyDescent="0.3">
      <c r="A1" s="27" t="s">
        <v>5</v>
      </c>
      <c r="B1" s="27" t="s">
        <v>6</v>
      </c>
      <c r="C1" s="27" t="s">
        <v>7</v>
      </c>
      <c r="D1" s="27"/>
      <c r="E1" s="27" t="s">
        <v>8</v>
      </c>
      <c r="F1" s="27" t="s">
        <v>9</v>
      </c>
      <c r="G1" s="27" t="s">
        <v>10</v>
      </c>
      <c r="H1" s="27" t="s">
        <v>185</v>
      </c>
      <c r="I1" s="27" t="s">
        <v>11</v>
      </c>
      <c r="J1" s="27" t="s">
        <v>12</v>
      </c>
      <c r="K1" s="27" t="s">
        <v>185</v>
      </c>
      <c r="L1" s="27" t="s">
        <v>11</v>
      </c>
      <c r="M1" s="1" t="s">
        <v>186</v>
      </c>
    </row>
    <row r="2" spans="1:13" ht="20.25" x14ac:dyDescent="0.25">
      <c r="A2" s="3">
        <v>1</v>
      </c>
      <c r="B2" s="4" t="s">
        <v>17</v>
      </c>
      <c r="C2" s="4">
        <v>1</v>
      </c>
      <c r="D2" s="4"/>
      <c r="E2" s="4" t="s">
        <v>18</v>
      </c>
      <c r="F2" s="5">
        <v>404</v>
      </c>
      <c r="G2" s="6"/>
      <c r="H2" s="7"/>
      <c r="I2" s="28"/>
      <c r="J2" s="8"/>
      <c r="K2" s="29"/>
      <c r="L2" s="28"/>
    </row>
    <row r="3" spans="1:13" ht="20.25" x14ac:dyDescent="0.25">
      <c r="A3" s="9">
        <v>2</v>
      </c>
      <c r="B3" s="10" t="s">
        <v>17</v>
      </c>
      <c r="C3" s="10">
        <v>2</v>
      </c>
      <c r="D3" s="38"/>
      <c r="E3" s="10" t="s">
        <v>20</v>
      </c>
      <c r="F3" s="11">
        <v>65</v>
      </c>
      <c r="G3" s="12"/>
      <c r="H3" s="13"/>
      <c r="I3" s="30"/>
      <c r="J3" s="14"/>
      <c r="K3" s="31"/>
      <c r="L3" s="30"/>
    </row>
    <row r="4" spans="1:13" ht="20.25" x14ac:dyDescent="0.25">
      <c r="A4" s="9">
        <v>3</v>
      </c>
      <c r="B4" s="10" t="s">
        <v>17</v>
      </c>
      <c r="C4" s="10">
        <v>3</v>
      </c>
      <c r="D4" s="38"/>
      <c r="E4" s="10" t="s">
        <v>22</v>
      </c>
      <c r="F4" s="11">
        <v>85</v>
      </c>
      <c r="G4" s="12"/>
      <c r="H4" s="13"/>
      <c r="I4" s="30"/>
      <c r="J4" s="14"/>
      <c r="K4" s="31"/>
      <c r="L4" s="32"/>
    </row>
    <row r="5" spans="1:13" ht="20.25" x14ac:dyDescent="0.25">
      <c r="A5" s="9">
        <v>4</v>
      </c>
      <c r="B5" s="10" t="s">
        <v>17</v>
      </c>
      <c r="C5" s="10">
        <v>4</v>
      </c>
      <c r="D5" s="10"/>
      <c r="E5" s="10" t="s">
        <v>24</v>
      </c>
      <c r="F5" s="11">
        <v>128</v>
      </c>
      <c r="G5" s="12"/>
      <c r="H5" s="13"/>
      <c r="I5" s="30"/>
      <c r="J5" s="14"/>
      <c r="K5" s="31"/>
      <c r="L5" s="32"/>
    </row>
    <row r="6" spans="1:13" ht="20.25" x14ac:dyDescent="0.25">
      <c r="A6" s="9">
        <v>5</v>
      </c>
      <c r="B6" s="10" t="s">
        <v>17</v>
      </c>
      <c r="C6" s="10">
        <v>5</v>
      </c>
      <c r="D6" s="38"/>
      <c r="E6" s="10" t="s">
        <v>24</v>
      </c>
      <c r="F6" s="11">
        <v>128</v>
      </c>
      <c r="G6" s="12"/>
      <c r="H6" s="13"/>
      <c r="I6" s="30"/>
      <c r="J6" s="14"/>
      <c r="K6" s="31"/>
      <c r="L6" s="32"/>
    </row>
    <row r="7" spans="1:13" ht="20.25" x14ac:dyDescent="0.25">
      <c r="A7" s="9">
        <v>6</v>
      </c>
      <c r="B7" s="10" t="s">
        <v>17</v>
      </c>
      <c r="C7" s="10">
        <v>6</v>
      </c>
      <c r="D7" s="10"/>
      <c r="E7" s="10" t="s">
        <v>24</v>
      </c>
      <c r="F7" s="11">
        <v>126</v>
      </c>
      <c r="G7" s="12"/>
      <c r="H7" s="13"/>
      <c r="I7" s="30"/>
      <c r="J7" s="14"/>
      <c r="K7" s="31"/>
      <c r="L7" s="32"/>
    </row>
    <row r="8" spans="1:13" ht="20.25" x14ac:dyDescent="0.25">
      <c r="A8" s="9">
        <v>7</v>
      </c>
      <c r="B8" s="10" t="s">
        <v>17</v>
      </c>
      <c r="C8" s="10">
        <v>7</v>
      </c>
      <c r="D8" s="10"/>
      <c r="E8" s="10" t="s">
        <v>24</v>
      </c>
      <c r="F8" s="11">
        <v>126</v>
      </c>
      <c r="G8" s="12"/>
      <c r="H8" s="13"/>
      <c r="I8" s="30"/>
      <c r="J8" s="14"/>
      <c r="K8" s="31"/>
      <c r="L8" s="32"/>
    </row>
    <row r="9" spans="1:13" ht="20.25" x14ac:dyDescent="0.25">
      <c r="A9" s="9">
        <v>8</v>
      </c>
      <c r="B9" s="10" t="s">
        <v>17</v>
      </c>
      <c r="C9" s="10">
        <v>8</v>
      </c>
      <c r="D9" s="38"/>
      <c r="E9" s="10" t="s">
        <v>24</v>
      </c>
      <c r="F9" s="11">
        <v>128</v>
      </c>
      <c r="G9" s="12"/>
      <c r="H9" s="13"/>
      <c r="I9" s="30"/>
      <c r="J9" s="14"/>
      <c r="K9" s="31"/>
      <c r="L9" s="30"/>
    </row>
    <row r="10" spans="1:13" ht="20.25" x14ac:dyDescent="0.25">
      <c r="A10" s="9">
        <v>9</v>
      </c>
      <c r="B10" s="10" t="s">
        <v>17</v>
      </c>
      <c r="C10" s="10">
        <v>9</v>
      </c>
      <c r="D10" s="38"/>
      <c r="E10" s="10" t="s">
        <v>24</v>
      </c>
      <c r="F10" s="11">
        <v>128</v>
      </c>
      <c r="G10" s="12"/>
      <c r="H10" s="13"/>
      <c r="I10" s="30"/>
      <c r="J10" s="14"/>
      <c r="K10" s="31"/>
      <c r="L10" s="30"/>
    </row>
    <row r="11" spans="1:13" ht="20.25" x14ac:dyDescent="0.25">
      <c r="A11" s="9">
        <v>10</v>
      </c>
      <c r="B11" s="10" t="s">
        <v>17</v>
      </c>
      <c r="C11" s="10">
        <v>10</v>
      </c>
      <c r="D11" s="38"/>
      <c r="E11" s="10" t="s">
        <v>24</v>
      </c>
      <c r="F11" s="11">
        <v>126</v>
      </c>
      <c r="G11" s="12"/>
      <c r="H11" s="13"/>
      <c r="I11" s="30"/>
      <c r="J11" s="14"/>
      <c r="K11" s="31"/>
      <c r="L11" s="30"/>
    </row>
    <row r="12" spans="1:13" ht="20.25" x14ac:dyDescent="0.25">
      <c r="A12" s="9">
        <v>11</v>
      </c>
      <c r="B12" s="10" t="s">
        <v>17</v>
      </c>
      <c r="C12" s="10">
        <v>11</v>
      </c>
      <c r="D12" s="10"/>
      <c r="E12" s="10" t="s">
        <v>24</v>
      </c>
      <c r="F12" s="11">
        <v>126</v>
      </c>
      <c r="G12" s="12"/>
      <c r="H12" s="13"/>
      <c r="I12" s="30"/>
      <c r="J12" s="14"/>
      <c r="K12" s="31"/>
      <c r="L12" s="30"/>
    </row>
    <row r="13" spans="1:13" ht="20.25" x14ac:dyDescent="0.25">
      <c r="A13" s="9">
        <v>12</v>
      </c>
      <c r="B13" s="10" t="s">
        <v>17</v>
      </c>
      <c r="C13" s="10">
        <v>12</v>
      </c>
      <c r="D13" s="38"/>
      <c r="E13" s="10" t="s">
        <v>24</v>
      </c>
      <c r="F13" s="11">
        <v>128</v>
      </c>
      <c r="G13" s="12"/>
      <c r="H13" s="13"/>
      <c r="I13" s="30"/>
      <c r="J13" s="14"/>
      <c r="K13" s="31"/>
      <c r="L13" s="30"/>
    </row>
    <row r="14" spans="1:13" ht="20.25" x14ac:dyDescent="0.25">
      <c r="A14" s="9">
        <v>13</v>
      </c>
      <c r="B14" s="10" t="s">
        <v>17</v>
      </c>
      <c r="C14" s="10">
        <v>13</v>
      </c>
      <c r="D14" s="38"/>
      <c r="E14" s="10" t="s">
        <v>24</v>
      </c>
      <c r="F14" s="11">
        <v>128</v>
      </c>
      <c r="G14" s="12"/>
      <c r="H14" s="13"/>
      <c r="I14" s="30"/>
      <c r="J14" s="14"/>
      <c r="K14" s="31"/>
      <c r="L14" s="32"/>
    </row>
    <row r="15" spans="1:13" ht="20.25" x14ac:dyDescent="0.25">
      <c r="A15" s="9">
        <v>14</v>
      </c>
      <c r="B15" s="10" t="s">
        <v>17</v>
      </c>
      <c r="C15" s="10">
        <v>14</v>
      </c>
      <c r="D15" s="38"/>
      <c r="E15" s="10" t="s">
        <v>24</v>
      </c>
      <c r="F15" s="11">
        <v>126</v>
      </c>
      <c r="G15" s="12"/>
      <c r="H15" s="13"/>
      <c r="I15" s="30"/>
      <c r="J15" s="14"/>
      <c r="K15" s="31"/>
      <c r="L15" s="32"/>
    </row>
    <row r="16" spans="1:13" ht="20.25" x14ac:dyDescent="0.25">
      <c r="A16" s="9">
        <v>15</v>
      </c>
      <c r="B16" s="10" t="s">
        <v>17</v>
      </c>
      <c r="C16" s="10">
        <v>15</v>
      </c>
      <c r="D16" s="38"/>
      <c r="E16" s="10" t="s">
        <v>24</v>
      </c>
      <c r="F16" s="11">
        <v>126</v>
      </c>
      <c r="G16" s="12"/>
      <c r="H16" s="13"/>
      <c r="I16" s="30"/>
      <c r="J16" s="14"/>
      <c r="K16" s="31"/>
      <c r="L16" s="30"/>
    </row>
    <row r="17" spans="1:12" ht="20.25" x14ac:dyDescent="0.25">
      <c r="A17" s="9">
        <v>16</v>
      </c>
      <c r="B17" s="10" t="s">
        <v>17</v>
      </c>
      <c r="C17" s="10">
        <v>16</v>
      </c>
      <c r="D17" s="38"/>
      <c r="E17" s="10" t="s">
        <v>24</v>
      </c>
      <c r="F17" s="11">
        <v>128</v>
      </c>
      <c r="G17" s="12"/>
      <c r="H17" s="13"/>
      <c r="I17" s="30"/>
      <c r="J17" s="14"/>
      <c r="K17" s="31"/>
      <c r="L17" s="32"/>
    </row>
    <row r="18" spans="1:12" ht="20.25" x14ac:dyDescent="0.25">
      <c r="A18" s="9">
        <v>17</v>
      </c>
      <c r="B18" s="10" t="s">
        <v>17</v>
      </c>
      <c r="C18" s="10">
        <v>17</v>
      </c>
      <c r="D18" s="10"/>
      <c r="E18" s="10" t="s">
        <v>24</v>
      </c>
      <c r="F18" s="11">
        <v>128</v>
      </c>
      <c r="G18" s="12"/>
      <c r="H18" s="13"/>
      <c r="I18" s="30"/>
      <c r="J18" s="14"/>
      <c r="K18" s="31"/>
      <c r="L18" s="32"/>
    </row>
    <row r="19" spans="1:12" ht="20.25" x14ac:dyDescent="0.25">
      <c r="A19" s="9">
        <v>18</v>
      </c>
      <c r="B19" s="10" t="s">
        <v>17</v>
      </c>
      <c r="C19" s="10">
        <v>18</v>
      </c>
      <c r="D19" s="38"/>
      <c r="E19" s="10" t="s">
        <v>24</v>
      </c>
      <c r="F19" s="11">
        <v>126</v>
      </c>
      <c r="G19" s="12"/>
      <c r="H19" s="13"/>
      <c r="I19" s="30"/>
      <c r="J19" s="14"/>
      <c r="K19" s="31"/>
      <c r="L19" s="30"/>
    </row>
    <row r="20" spans="1:12" ht="20.25" x14ac:dyDescent="0.25">
      <c r="A20" s="9">
        <v>19</v>
      </c>
      <c r="B20" s="10" t="s">
        <v>17</v>
      </c>
      <c r="C20" s="10">
        <v>19</v>
      </c>
      <c r="D20" s="10"/>
      <c r="E20" s="10" t="s">
        <v>24</v>
      </c>
      <c r="F20" s="11">
        <v>126</v>
      </c>
      <c r="G20" s="12"/>
      <c r="H20" s="13"/>
      <c r="I20" s="30"/>
      <c r="J20" s="14"/>
      <c r="K20" s="31"/>
      <c r="L20" s="32"/>
    </row>
    <row r="21" spans="1:12" ht="20.25" x14ac:dyDescent="0.25">
      <c r="A21" s="9">
        <v>20</v>
      </c>
      <c r="B21" s="10" t="s">
        <v>17</v>
      </c>
      <c r="C21" s="10">
        <v>20</v>
      </c>
      <c r="D21" s="38"/>
      <c r="E21" s="10" t="s">
        <v>24</v>
      </c>
      <c r="F21" s="11">
        <v>128</v>
      </c>
      <c r="G21" s="12"/>
      <c r="H21" s="13"/>
      <c r="I21" s="30"/>
      <c r="J21" s="14"/>
      <c r="K21" s="31"/>
      <c r="L21" s="30"/>
    </row>
    <row r="22" spans="1:12" ht="20.25" x14ac:dyDescent="0.25">
      <c r="A22" s="9">
        <v>21</v>
      </c>
      <c r="B22" s="10" t="s">
        <v>17</v>
      </c>
      <c r="C22" s="10">
        <v>21</v>
      </c>
      <c r="D22" s="38"/>
      <c r="E22" s="10" t="s">
        <v>24</v>
      </c>
      <c r="F22" s="11">
        <v>128</v>
      </c>
      <c r="G22" s="12"/>
      <c r="H22" s="13"/>
      <c r="I22" s="30"/>
      <c r="J22" s="14"/>
      <c r="K22" s="31"/>
      <c r="L22" s="30"/>
    </row>
    <row r="23" spans="1:12" ht="20.25" x14ac:dyDescent="0.25">
      <c r="A23" s="9">
        <v>22</v>
      </c>
      <c r="B23" s="10" t="s">
        <v>17</v>
      </c>
      <c r="C23" s="10">
        <v>22</v>
      </c>
      <c r="D23" s="10"/>
      <c r="E23" s="10" t="s">
        <v>24</v>
      </c>
      <c r="F23" s="11">
        <v>126</v>
      </c>
      <c r="G23" s="12"/>
      <c r="H23" s="13"/>
      <c r="I23" s="30"/>
      <c r="J23" s="14"/>
      <c r="K23" s="31"/>
      <c r="L23" s="32"/>
    </row>
    <row r="24" spans="1:12" ht="20.25" x14ac:dyDescent="0.25">
      <c r="A24" s="9">
        <v>23</v>
      </c>
      <c r="B24" s="10" t="s">
        <v>17</v>
      </c>
      <c r="C24" s="10">
        <v>23</v>
      </c>
      <c r="D24" s="38"/>
      <c r="E24" s="10" t="s">
        <v>24</v>
      </c>
      <c r="F24" s="11">
        <v>126</v>
      </c>
      <c r="G24" s="12"/>
      <c r="H24" s="13"/>
      <c r="I24" s="30"/>
      <c r="J24" s="14"/>
      <c r="K24" s="31"/>
      <c r="L24" s="30"/>
    </row>
    <row r="25" spans="1:12" ht="20.25" x14ac:dyDescent="0.25">
      <c r="A25" s="9">
        <v>24</v>
      </c>
      <c r="B25" s="10" t="s">
        <v>17</v>
      </c>
      <c r="C25" s="10">
        <v>24</v>
      </c>
      <c r="D25" s="38"/>
      <c r="E25" s="10" t="s">
        <v>24</v>
      </c>
      <c r="F25" s="11">
        <v>128</v>
      </c>
      <c r="G25" s="12"/>
      <c r="H25" s="13"/>
      <c r="I25" s="30"/>
      <c r="J25" s="14"/>
      <c r="K25" s="31"/>
      <c r="L25" s="32"/>
    </row>
    <row r="26" spans="1:12" ht="20.25" x14ac:dyDescent="0.25">
      <c r="A26" s="9">
        <v>25</v>
      </c>
      <c r="B26" s="10" t="s">
        <v>17</v>
      </c>
      <c r="C26" s="10">
        <v>25</v>
      </c>
      <c r="D26" s="38"/>
      <c r="E26" s="10" t="s">
        <v>24</v>
      </c>
      <c r="F26" s="11">
        <v>128</v>
      </c>
      <c r="G26" s="12"/>
      <c r="H26" s="13"/>
      <c r="I26" s="30"/>
      <c r="J26" s="14"/>
      <c r="K26" s="31"/>
      <c r="L26" s="32"/>
    </row>
    <row r="27" spans="1:12" ht="20.25" x14ac:dyDescent="0.25">
      <c r="A27" s="9">
        <v>26</v>
      </c>
      <c r="B27" s="10" t="s">
        <v>17</v>
      </c>
      <c r="C27" s="10">
        <v>26</v>
      </c>
      <c r="D27" s="38"/>
      <c r="E27" s="10" t="s">
        <v>24</v>
      </c>
      <c r="F27" s="11">
        <v>126</v>
      </c>
      <c r="G27" s="12"/>
      <c r="H27" s="13"/>
      <c r="I27" s="30"/>
      <c r="J27" s="14"/>
      <c r="K27" s="31"/>
      <c r="L27" s="32"/>
    </row>
    <row r="28" spans="1:12" ht="20.25" x14ac:dyDescent="0.25">
      <c r="A28" s="9">
        <v>27</v>
      </c>
      <c r="B28" s="10" t="s">
        <v>17</v>
      </c>
      <c r="C28" s="10">
        <v>27</v>
      </c>
      <c r="D28" s="38"/>
      <c r="E28" s="10" t="s">
        <v>24</v>
      </c>
      <c r="F28" s="11">
        <v>126</v>
      </c>
      <c r="G28" s="12"/>
      <c r="H28" s="13"/>
      <c r="I28" s="30"/>
      <c r="J28" s="14"/>
      <c r="K28" s="31"/>
      <c r="L28" s="32"/>
    </row>
    <row r="29" spans="1:12" ht="20.25" x14ac:dyDescent="0.25">
      <c r="A29" s="9">
        <v>28</v>
      </c>
      <c r="B29" s="10" t="s">
        <v>17</v>
      </c>
      <c r="C29" s="10">
        <v>28</v>
      </c>
      <c r="D29" s="38"/>
      <c r="E29" s="10" t="s">
        <v>24</v>
      </c>
      <c r="F29" s="11">
        <v>128</v>
      </c>
      <c r="G29" s="12"/>
      <c r="H29" s="13"/>
      <c r="I29" s="30"/>
      <c r="J29" s="14"/>
      <c r="K29" s="31"/>
      <c r="L29" s="32"/>
    </row>
    <row r="30" spans="1:12" ht="20.25" x14ac:dyDescent="0.25">
      <c r="A30" s="9">
        <v>29</v>
      </c>
      <c r="B30" s="10" t="s">
        <v>17</v>
      </c>
      <c r="C30" s="10">
        <v>29</v>
      </c>
      <c r="D30" s="38"/>
      <c r="E30" s="10" t="s">
        <v>24</v>
      </c>
      <c r="F30" s="11">
        <v>128</v>
      </c>
      <c r="G30" s="12"/>
      <c r="H30" s="13"/>
      <c r="I30" s="30"/>
      <c r="J30" s="14"/>
      <c r="K30" s="31"/>
      <c r="L30" s="30"/>
    </row>
    <row r="31" spans="1:12" ht="20.25" x14ac:dyDescent="0.25">
      <c r="A31" s="9">
        <v>30</v>
      </c>
      <c r="B31" s="10" t="s">
        <v>17</v>
      </c>
      <c r="C31" s="10">
        <v>30</v>
      </c>
      <c r="D31" s="10"/>
      <c r="E31" s="10" t="s">
        <v>24</v>
      </c>
      <c r="F31" s="11">
        <v>126</v>
      </c>
      <c r="G31" s="12"/>
      <c r="H31" s="13"/>
      <c r="I31" s="30"/>
      <c r="J31" s="14"/>
      <c r="K31" s="31"/>
      <c r="L31" s="32"/>
    </row>
    <row r="32" spans="1:12" ht="20.25" x14ac:dyDescent="0.25">
      <c r="A32" s="9">
        <v>31</v>
      </c>
      <c r="B32" s="10" t="s">
        <v>17</v>
      </c>
      <c r="C32" s="10">
        <v>31</v>
      </c>
      <c r="D32" s="38"/>
      <c r="E32" s="10" t="s">
        <v>24</v>
      </c>
      <c r="F32" s="11">
        <v>126</v>
      </c>
      <c r="G32" s="12"/>
      <c r="H32" s="13"/>
      <c r="I32" s="30"/>
      <c r="J32" s="14"/>
      <c r="K32" s="31"/>
      <c r="L32" s="32"/>
    </row>
    <row r="33" spans="1:12" ht="20.25" x14ac:dyDescent="0.25">
      <c r="A33" s="9">
        <v>1</v>
      </c>
      <c r="B33" s="15" t="s">
        <v>49</v>
      </c>
      <c r="C33" s="15">
        <v>0</v>
      </c>
      <c r="D33" s="38"/>
      <c r="E33" s="15" t="s">
        <v>20</v>
      </c>
      <c r="F33" s="16">
        <v>65</v>
      </c>
      <c r="G33" s="33"/>
      <c r="H33" s="34"/>
      <c r="I33" s="30"/>
      <c r="J33" s="14"/>
      <c r="K33" s="35"/>
      <c r="L33" s="30"/>
    </row>
    <row r="34" spans="1:12" ht="20.25" x14ac:dyDescent="0.25">
      <c r="A34" s="9">
        <v>2</v>
      </c>
      <c r="B34" s="15" t="s">
        <v>49</v>
      </c>
      <c r="C34" s="15">
        <v>1</v>
      </c>
      <c r="D34" s="15"/>
      <c r="E34" s="15" t="s">
        <v>24</v>
      </c>
      <c r="F34" s="16">
        <v>94</v>
      </c>
      <c r="G34" s="12"/>
      <c r="H34" s="13"/>
      <c r="I34" s="30"/>
      <c r="J34" s="14"/>
      <c r="K34" s="31"/>
      <c r="L34" s="30"/>
    </row>
    <row r="35" spans="1:12" ht="20.25" x14ac:dyDescent="0.25">
      <c r="A35" s="9">
        <v>3</v>
      </c>
      <c r="B35" s="15" t="s">
        <v>49</v>
      </c>
      <c r="C35" s="15">
        <v>2</v>
      </c>
      <c r="D35" s="38"/>
      <c r="E35" s="15" t="s">
        <v>24</v>
      </c>
      <c r="F35" s="16">
        <v>120</v>
      </c>
      <c r="G35" s="12"/>
      <c r="H35" s="13"/>
      <c r="I35" s="30"/>
      <c r="J35" s="14"/>
      <c r="K35" s="31"/>
      <c r="L35" s="32"/>
    </row>
    <row r="36" spans="1:12" ht="20.25" x14ac:dyDescent="0.25">
      <c r="A36" s="9">
        <v>4</v>
      </c>
      <c r="B36" s="15" t="s">
        <v>49</v>
      </c>
      <c r="C36" s="15">
        <v>3</v>
      </c>
      <c r="D36" s="15"/>
      <c r="E36" s="15" t="s">
        <v>24</v>
      </c>
      <c r="F36" s="16">
        <v>120</v>
      </c>
      <c r="G36" s="12"/>
      <c r="H36" s="13"/>
      <c r="I36" s="30"/>
      <c r="J36" s="14"/>
      <c r="K36" s="31"/>
      <c r="L36" s="32"/>
    </row>
    <row r="37" spans="1:12" ht="20.25" x14ac:dyDescent="0.25">
      <c r="A37" s="9">
        <v>5</v>
      </c>
      <c r="B37" s="15" t="s">
        <v>49</v>
      </c>
      <c r="C37" s="15">
        <v>4</v>
      </c>
      <c r="D37" s="15"/>
      <c r="E37" s="15" t="s">
        <v>24</v>
      </c>
      <c r="F37" s="16">
        <v>110</v>
      </c>
      <c r="G37" s="12"/>
      <c r="H37" s="13"/>
      <c r="I37" s="30"/>
      <c r="J37" s="14"/>
      <c r="K37" s="31"/>
      <c r="L37" s="30"/>
    </row>
    <row r="38" spans="1:12" ht="20.25" x14ac:dyDescent="0.25">
      <c r="A38" s="9">
        <v>6</v>
      </c>
      <c r="B38" s="15" t="s">
        <v>49</v>
      </c>
      <c r="C38" s="15">
        <v>5</v>
      </c>
      <c r="D38" s="38"/>
      <c r="E38" s="15" t="s">
        <v>24</v>
      </c>
      <c r="F38" s="16">
        <v>126</v>
      </c>
      <c r="G38" s="12"/>
      <c r="H38" s="13"/>
      <c r="I38" s="30"/>
      <c r="J38" s="14"/>
      <c r="K38" s="31"/>
      <c r="L38" s="32"/>
    </row>
    <row r="39" spans="1:12" ht="20.25" x14ac:dyDescent="0.25">
      <c r="A39" s="9">
        <v>7</v>
      </c>
      <c r="B39" s="15" t="s">
        <v>49</v>
      </c>
      <c r="C39" s="15">
        <v>6</v>
      </c>
      <c r="D39" s="38"/>
      <c r="E39" s="15" t="s">
        <v>24</v>
      </c>
      <c r="F39" s="16">
        <v>126</v>
      </c>
      <c r="G39" s="12"/>
      <c r="H39" s="13"/>
      <c r="I39" s="30"/>
      <c r="J39" s="14"/>
      <c r="K39" s="31"/>
      <c r="L39" s="30"/>
    </row>
    <row r="40" spans="1:12" ht="20.25" x14ac:dyDescent="0.25">
      <c r="A40" s="9">
        <v>8</v>
      </c>
      <c r="B40" s="15" t="s">
        <v>49</v>
      </c>
      <c r="C40" s="15">
        <v>7</v>
      </c>
      <c r="D40" s="15"/>
      <c r="E40" s="15" t="s">
        <v>24</v>
      </c>
      <c r="F40" s="16">
        <v>128</v>
      </c>
      <c r="G40" s="12"/>
      <c r="H40" s="13"/>
      <c r="I40" s="30"/>
      <c r="J40" s="14"/>
      <c r="K40" s="31"/>
      <c r="L40" s="30"/>
    </row>
    <row r="41" spans="1:12" ht="20.25" x14ac:dyDescent="0.25">
      <c r="A41" s="9">
        <v>9</v>
      </c>
      <c r="B41" s="15" t="s">
        <v>49</v>
      </c>
      <c r="C41" s="15">
        <v>8</v>
      </c>
      <c r="D41" s="38"/>
      <c r="E41" s="15" t="s">
        <v>24</v>
      </c>
      <c r="F41" s="16">
        <v>128</v>
      </c>
      <c r="G41" s="12"/>
      <c r="H41" s="13"/>
      <c r="I41" s="30"/>
      <c r="J41" s="14"/>
      <c r="K41" s="31"/>
      <c r="L41" s="32"/>
    </row>
    <row r="42" spans="1:12" ht="20.25" x14ac:dyDescent="0.25">
      <c r="A42" s="9">
        <v>10</v>
      </c>
      <c r="B42" s="15" t="s">
        <v>49</v>
      </c>
      <c r="C42" s="15">
        <v>9</v>
      </c>
      <c r="D42" s="38"/>
      <c r="E42" s="15" t="s">
        <v>24</v>
      </c>
      <c r="F42" s="16">
        <v>126</v>
      </c>
      <c r="G42" s="12"/>
      <c r="H42" s="13"/>
      <c r="I42" s="30"/>
      <c r="J42" s="14"/>
      <c r="K42" s="31"/>
      <c r="L42" s="32"/>
    </row>
    <row r="43" spans="1:12" ht="20.25" x14ac:dyDescent="0.25">
      <c r="A43" s="9">
        <v>11</v>
      </c>
      <c r="B43" s="15" t="s">
        <v>49</v>
      </c>
      <c r="C43" s="15">
        <v>10</v>
      </c>
      <c r="D43" s="38"/>
      <c r="E43" s="15" t="s">
        <v>24</v>
      </c>
      <c r="F43" s="16">
        <v>126</v>
      </c>
      <c r="G43" s="12"/>
      <c r="H43" s="13"/>
      <c r="I43" s="30"/>
      <c r="J43" s="14"/>
      <c r="K43" s="31"/>
      <c r="L43" s="30"/>
    </row>
    <row r="44" spans="1:12" ht="20.25" x14ac:dyDescent="0.25">
      <c r="A44" s="9">
        <v>12</v>
      </c>
      <c r="B44" s="15" t="s">
        <v>49</v>
      </c>
      <c r="C44" s="15">
        <v>11</v>
      </c>
      <c r="D44" s="38"/>
      <c r="E44" s="15" t="s">
        <v>24</v>
      </c>
      <c r="F44" s="16">
        <v>128</v>
      </c>
      <c r="G44" s="12"/>
      <c r="H44" s="13"/>
      <c r="I44" s="30"/>
      <c r="J44" s="14"/>
      <c r="K44" s="31"/>
      <c r="L44" s="32"/>
    </row>
    <row r="45" spans="1:12" ht="20.25" x14ac:dyDescent="0.25">
      <c r="A45" s="9">
        <v>13</v>
      </c>
      <c r="B45" s="15" t="s">
        <v>49</v>
      </c>
      <c r="C45" s="15">
        <v>12</v>
      </c>
      <c r="D45" s="38"/>
      <c r="E45" s="15" t="s">
        <v>24</v>
      </c>
      <c r="F45" s="16">
        <v>128</v>
      </c>
      <c r="G45" s="12"/>
      <c r="H45" s="13"/>
      <c r="I45" s="30"/>
      <c r="J45" s="14"/>
      <c r="K45" s="31"/>
      <c r="L45" s="30"/>
    </row>
    <row r="46" spans="1:12" ht="20.25" x14ac:dyDescent="0.25">
      <c r="A46" s="9">
        <v>14</v>
      </c>
      <c r="B46" s="15" t="s">
        <v>49</v>
      </c>
      <c r="C46" s="15">
        <v>13</v>
      </c>
      <c r="D46" s="15"/>
      <c r="E46" s="15" t="s">
        <v>24</v>
      </c>
      <c r="F46" s="16">
        <v>126</v>
      </c>
      <c r="G46" s="12"/>
      <c r="H46" s="13"/>
      <c r="I46" s="30"/>
      <c r="J46" s="14"/>
      <c r="K46" s="31"/>
      <c r="L46" s="32"/>
    </row>
    <row r="47" spans="1:12" ht="20.25" x14ac:dyDescent="0.25">
      <c r="A47" s="9">
        <v>15</v>
      </c>
      <c r="B47" s="15" t="s">
        <v>49</v>
      </c>
      <c r="C47" s="15">
        <v>14</v>
      </c>
      <c r="D47" s="15"/>
      <c r="E47" s="15" t="s">
        <v>24</v>
      </c>
      <c r="F47" s="16">
        <v>126</v>
      </c>
      <c r="G47" s="12"/>
      <c r="H47" s="13"/>
      <c r="I47" s="30"/>
      <c r="J47" s="14"/>
      <c r="K47" s="31"/>
      <c r="L47" s="32"/>
    </row>
    <row r="48" spans="1:12" ht="20.25" x14ac:dyDescent="0.25">
      <c r="A48" s="9">
        <v>16</v>
      </c>
      <c r="B48" s="15" t="s">
        <v>49</v>
      </c>
      <c r="C48" s="15">
        <v>15</v>
      </c>
      <c r="D48" s="38"/>
      <c r="E48" s="15" t="s">
        <v>24</v>
      </c>
      <c r="F48" s="16">
        <v>128</v>
      </c>
      <c r="G48" s="12"/>
      <c r="H48" s="13"/>
      <c r="I48" s="30"/>
      <c r="J48" s="14"/>
      <c r="K48" s="31"/>
      <c r="L48" s="32"/>
    </row>
    <row r="49" spans="1:12" ht="20.25" x14ac:dyDescent="0.25">
      <c r="A49" s="9">
        <v>17</v>
      </c>
      <c r="B49" s="15" t="s">
        <v>49</v>
      </c>
      <c r="C49" s="15">
        <v>16</v>
      </c>
      <c r="D49" s="15"/>
      <c r="E49" s="15" t="s">
        <v>24</v>
      </c>
      <c r="F49" s="16">
        <v>128</v>
      </c>
      <c r="G49" s="12"/>
      <c r="H49" s="13"/>
      <c r="I49" s="30"/>
      <c r="J49" s="14"/>
      <c r="K49" s="31"/>
      <c r="L49" s="32"/>
    </row>
    <row r="50" spans="1:12" ht="20.25" x14ac:dyDescent="0.25">
      <c r="A50" s="9">
        <v>18</v>
      </c>
      <c r="B50" s="15" t="s">
        <v>49</v>
      </c>
      <c r="C50" s="15">
        <v>17</v>
      </c>
      <c r="D50" s="38"/>
      <c r="E50" s="15" t="s">
        <v>24</v>
      </c>
      <c r="F50" s="16">
        <v>126</v>
      </c>
      <c r="G50" s="12"/>
      <c r="H50" s="13"/>
      <c r="I50" s="30"/>
      <c r="J50" s="14"/>
      <c r="K50" s="31"/>
      <c r="L50" s="32"/>
    </row>
    <row r="51" spans="1:12" ht="17.25" customHeight="1" x14ac:dyDescent="0.25">
      <c r="A51" s="9">
        <v>19</v>
      </c>
      <c r="B51" s="15" t="s">
        <v>49</v>
      </c>
      <c r="C51" s="15">
        <v>18</v>
      </c>
      <c r="D51" s="15"/>
      <c r="E51" s="15" t="s">
        <v>24</v>
      </c>
      <c r="F51" s="16">
        <v>126</v>
      </c>
      <c r="G51" s="12"/>
      <c r="H51" s="13"/>
      <c r="I51" s="30"/>
      <c r="J51" s="14"/>
      <c r="K51" s="31"/>
      <c r="L51" s="32"/>
    </row>
    <row r="52" spans="1:12" ht="20.25" x14ac:dyDescent="0.25">
      <c r="A52" s="9">
        <v>20</v>
      </c>
      <c r="B52" s="15" t="s">
        <v>49</v>
      </c>
      <c r="C52" s="15">
        <v>19</v>
      </c>
      <c r="D52" s="38"/>
      <c r="E52" s="15" t="s">
        <v>24</v>
      </c>
      <c r="F52" s="16">
        <v>128</v>
      </c>
      <c r="G52" s="12"/>
      <c r="H52" s="13"/>
      <c r="I52" s="30"/>
      <c r="J52" s="14"/>
      <c r="K52" s="31"/>
      <c r="L52" s="32"/>
    </row>
    <row r="53" spans="1:12" ht="20.25" x14ac:dyDescent="0.25">
      <c r="A53" s="9">
        <v>21</v>
      </c>
      <c r="B53" s="15" t="s">
        <v>49</v>
      </c>
      <c r="C53" s="15">
        <v>20</v>
      </c>
      <c r="D53" s="38"/>
      <c r="E53" s="15" t="s">
        <v>24</v>
      </c>
      <c r="F53" s="16">
        <v>128</v>
      </c>
      <c r="G53" s="12"/>
      <c r="H53" s="13"/>
      <c r="I53" s="30"/>
      <c r="J53" s="14"/>
      <c r="K53" s="31"/>
      <c r="L53" s="32"/>
    </row>
    <row r="54" spans="1:12" ht="20.25" x14ac:dyDescent="0.25">
      <c r="A54" s="9">
        <v>22</v>
      </c>
      <c r="B54" s="15" t="s">
        <v>49</v>
      </c>
      <c r="C54" s="15">
        <v>21</v>
      </c>
      <c r="D54" s="38"/>
      <c r="E54" s="15" t="s">
        <v>24</v>
      </c>
      <c r="F54" s="16">
        <v>126</v>
      </c>
      <c r="G54" s="12"/>
      <c r="H54" s="13"/>
      <c r="I54" s="30"/>
      <c r="J54" s="14"/>
      <c r="K54" s="31"/>
      <c r="L54" s="32"/>
    </row>
    <row r="55" spans="1:12" ht="20.25" x14ac:dyDescent="0.25">
      <c r="A55" s="9">
        <v>23</v>
      </c>
      <c r="B55" s="15" t="s">
        <v>49</v>
      </c>
      <c r="C55" s="15">
        <v>22</v>
      </c>
      <c r="D55" s="38"/>
      <c r="E55" s="15" t="s">
        <v>24</v>
      </c>
      <c r="F55" s="16">
        <v>126</v>
      </c>
      <c r="G55" s="12"/>
      <c r="H55" s="13"/>
      <c r="I55" s="30"/>
      <c r="J55" s="14"/>
      <c r="K55" s="31"/>
      <c r="L55" s="32"/>
    </row>
    <row r="56" spans="1:12" ht="20.25" x14ac:dyDescent="0.25">
      <c r="A56" s="9">
        <v>24</v>
      </c>
      <c r="B56" s="15" t="s">
        <v>49</v>
      </c>
      <c r="C56" s="15">
        <v>23</v>
      </c>
      <c r="D56" s="38"/>
      <c r="E56" s="15" t="s">
        <v>24</v>
      </c>
      <c r="F56" s="16">
        <v>128</v>
      </c>
      <c r="G56" s="12"/>
      <c r="H56" s="13"/>
      <c r="I56" s="30"/>
      <c r="J56" s="14"/>
      <c r="K56" s="31"/>
      <c r="L56" s="32"/>
    </row>
    <row r="57" spans="1:12" ht="20.25" x14ac:dyDescent="0.25">
      <c r="A57" s="9">
        <v>25</v>
      </c>
      <c r="B57" s="15" t="s">
        <v>49</v>
      </c>
      <c r="C57" s="15">
        <v>24</v>
      </c>
      <c r="D57" s="15"/>
      <c r="E57" s="15" t="s">
        <v>24</v>
      </c>
      <c r="F57" s="16">
        <v>128</v>
      </c>
      <c r="G57" s="12"/>
      <c r="H57" s="13"/>
      <c r="I57" s="30"/>
      <c r="J57" s="14"/>
      <c r="K57" s="31"/>
      <c r="L57" s="32"/>
    </row>
    <row r="58" spans="1:12" ht="20.25" x14ac:dyDescent="0.25">
      <c r="A58" s="9">
        <v>26</v>
      </c>
      <c r="B58" s="15" t="s">
        <v>49</v>
      </c>
      <c r="C58" s="15">
        <v>25</v>
      </c>
      <c r="D58" s="38"/>
      <c r="E58" s="15" t="s">
        <v>24</v>
      </c>
      <c r="F58" s="16">
        <v>126</v>
      </c>
      <c r="G58" s="12"/>
      <c r="H58" s="13"/>
      <c r="I58" s="30"/>
      <c r="J58" s="14"/>
      <c r="K58" s="31"/>
      <c r="L58" s="32"/>
    </row>
    <row r="59" spans="1:12" ht="20.25" x14ac:dyDescent="0.25">
      <c r="A59" s="9">
        <v>27</v>
      </c>
      <c r="B59" s="15" t="s">
        <v>49</v>
      </c>
      <c r="C59" s="15">
        <v>26</v>
      </c>
      <c r="D59" s="38"/>
      <c r="E59" s="15" t="s">
        <v>24</v>
      </c>
      <c r="F59" s="16">
        <v>126</v>
      </c>
      <c r="G59" s="12"/>
      <c r="H59" s="13"/>
      <c r="I59" s="30"/>
      <c r="J59" s="14"/>
      <c r="K59" s="31"/>
      <c r="L59" s="32"/>
    </row>
    <row r="60" spans="1:12" ht="20.25" x14ac:dyDescent="0.25">
      <c r="A60" s="9">
        <v>28</v>
      </c>
      <c r="B60" s="15" t="s">
        <v>49</v>
      </c>
      <c r="C60" s="15">
        <v>27</v>
      </c>
      <c r="D60" s="38"/>
      <c r="E60" s="15" t="s">
        <v>24</v>
      </c>
      <c r="F60" s="16">
        <v>128</v>
      </c>
      <c r="G60" s="12"/>
      <c r="H60" s="13"/>
      <c r="I60" s="30"/>
      <c r="J60" s="14"/>
      <c r="K60" s="31"/>
      <c r="L60" s="32"/>
    </row>
    <row r="61" spans="1:12" ht="20.25" x14ac:dyDescent="0.25">
      <c r="A61" s="9">
        <v>29</v>
      </c>
      <c r="B61" s="15" t="s">
        <v>49</v>
      </c>
      <c r="C61" s="15">
        <v>28</v>
      </c>
      <c r="D61" s="38"/>
      <c r="E61" s="15" t="s">
        <v>24</v>
      </c>
      <c r="F61" s="16">
        <v>128</v>
      </c>
      <c r="G61" s="12"/>
      <c r="H61" s="13"/>
      <c r="I61" s="30"/>
      <c r="J61" s="14"/>
      <c r="K61" s="31"/>
      <c r="L61" s="32"/>
    </row>
    <row r="62" spans="1:12" ht="20.25" x14ac:dyDescent="0.25">
      <c r="A62" s="9">
        <v>30</v>
      </c>
      <c r="B62" s="15" t="s">
        <v>49</v>
      </c>
      <c r="C62" s="15">
        <v>29</v>
      </c>
      <c r="D62" s="38"/>
      <c r="E62" s="15" t="s">
        <v>24</v>
      </c>
      <c r="F62" s="16">
        <v>126</v>
      </c>
      <c r="G62" s="12"/>
      <c r="H62" s="13"/>
      <c r="I62" s="30"/>
      <c r="J62" s="14"/>
      <c r="K62" s="31"/>
      <c r="L62" s="30"/>
    </row>
    <row r="63" spans="1:12" ht="20.25" x14ac:dyDescent="0.25">
      <c r="A63" s="9">
        <v>31</v>
      </c>
      <c r="B63" s="15" t="s">
        <v>49</v>
      </c>
      <c r="C63" s="15">
        <v>30</v>
      </c>
      <c r="D63" s="38"/>
      <c r="E63" s="15" t="s">
        <v>24</v>
      </c>
      <c r="F63" s="16">
        <v>126</v>
      </c>
      <c r="G63" s="12"/>
      <c r="H63" s="13"/>
      <c r="I63" s="30"/>
      <c r="J63" s="14"/>
      <c r="K63" s="31"/>
      <c r="L63" s="30"/>
    </row>
    <row r="64" spans="1:12" ht="20.25" x14ac:dyDescent="0.25">
      <c r="A64" s="9">
        <v>32</v>
      </c>
      <c r="B64" s="15" t="s">
        <v>49</v>
      </c>
      <c r="C64" s="15">
        <v>31</v>
      </c>
      <c r="D64" s="15"/>
      <c r="E64" s="15" t="s">
        <v>24</v>
      </c>
      <c r="F64" s="16">
        <v>128</v>
      </c>
      <c r="G64" s="12"/>
      <c r="H64" s="13"/>
      <c r="I64" s="30"/>
      <c r="J64" s="14"/>
      <c r="K64" s="31"/>
      <c r="L64" s="30"/>
    </row>
    <row r="65" spans="1:12" ht="20.25" x14ac:dyDescent="0.25">
      <c r="A65" s="9">
        <v>33</v>
      </c>
      <c r="B65" s="15" t="s">
        <v>49</v>
      </c>
      <c r="C65" s="15">
        <v>32</v>
      </c>
      <c r="D65" s="38"/>
      <c r="E65" s="15" t="s">
        <v>24</v>
      </c>
      <c r="F65" s="16">
        <v>128</v>
      </c>
      <c r="G65" s="12"/>
      <c r="H65" s="13"/>
      <c r="I65" s="30"/>
      <c r="J65" s="14"/>
      <c r="K65" s="31"/>
      <c r="L65" s="30"/>
    </row>
    <row r="66" spans="1:12" ht="20.25" x14ac:dyDescent="0.25">
      <c r="A66" s="9">
        <v>1</v>
      </c>
      <c r="B66" s="17" t="s">
        <v>83</v>
      </c>
      <c r="C66" s="17">
        <v>1</v>
      </c>
      <c r="D66" s="17"/>
      <c r="E66" s="17" t="s">
        <v>18</v>
      </c>
      <c r="F66" s="18">
        <v>90</v>
      </c>
      <c r="G66" s="12"/>
      <c r="H66" s="13"/>
      <c r="I66" s="30"/>
      <c r="J66" s="14"/>
      <c r="K66" s="31"/>
      <c r="L66" s="30"/>
    </row>
    <row r="67" spans="1:12" ht="20.25" x14ac:dyDescent="0.25">
      <c r="A67" s="9">
        <v>2</v>
      </c>
      <c r="B67" s="17" t="s">
        <v>83</v>
      </c>
      <c r="C67" s="17">
        <v>2</v>
      </c>
      <c r="D67" s="17"/>
      <c r="E67" s="17" t="s">
        <v>18</v>
      </c>
      <c r="F67" s="18">
        <v>45</v>
      </c>
      <c r="G67" s="12"/>
      <c r="H67" s="13"/>
      <c r="I67" s="30"/>
      <c r="J67" s="14"/>
      <c r="K67" s="31"/>
      <c r="L67" s="30"/>
    </row>
    <row r="68" spans="1:12" ht="20.25" x14ac:dyDescent="0.25">
      <c r="A68" s="9">
        <v>3</v>
      </c>
      <c r="B68" s="17" t="s">
        <v>83</v>
      </c>
      <c r="C68" s="17">
        <v>3</v>
      </c>
      <c r="D68" s="38"/>
      <c r="E68" s="17" t="s">
        <v>18</v>
      </c>
      <c r="F68" s="18">
        <v>45</v>
      </c>
      <c r="G68" s="12"/>
      <c r="H68" s="13"/>
      <c r="I68" s="30"/>
      <c r="J68" s="14"/>
      <c r="K68" s="31"/>
      <c r="L68" s="32"/>
    </row>
    <row r="69" spans="1:12" ht="20.25" x14ac:dyDescent="0.25">
      <c r="A69" s="9">
        <v>4</v>
      </c>
      <c r="B69" s="17" t="s">
        <v>83</v>
      </c>
      <c r="C69" s="17">
        <v>4</v>
      </c>
      <c r="D69" s="17"/>
      <c r="E69" s="17" t="s">
        <v>18</v>
      </c>
      <c r="F69" s="18">
        <v>90</v>
      </c>
      <c r="G69" s="12"/>
      <c r="H69" s="13"/>
      <c r="I69" s="30"/>
      <c r="J69" s="14"/>
      <c r="K69" s="31"/>
      <c r="L69" s="32"/>
    </row>
    <row r="70" spans="1:12" ht="20.25" x14ac:dyDescent="0.25">
      <c r="A70" s="9">
        <v>5</v>
      </c>
      <c r="B70" s="17" t="s">
        <v>83</v>
      </c>
      <c r="C70" s="17">
        <v>5</v>
      </c>
      <c r="D70" s="38"/>
      <c r="E70" s="17" t="s">
        <v>22</v>
      </c>
      <c r="F70" s="18">
        <v>80</v>
      </c>
      <c r="G70" s="12"/>
      <c r="H70" s="13"/>
      <c r="I70" s="30"/>
      <c r="J70" s="14"/>
      <c r="K70" s="31"/>
      <c r="L70" s="32"/>
    </row>
    <row r="71" spans="1:12" ht="20.25" x14ac:dyDescent="0.25">
      <c r="A71" s="9">
        <v>6</v>
      </c>
      <c r="B71" s="17" t="s">
        <v>83</v>
      </c>
      <c r="C71" s="17">
        <v>6</v>
      </c>
      <c r="D71" s="17"/>
      <c r="E71" s="17" t="s">
        <v>20</v>
      </c>
      <c r="F71" s="18">
        <v>49</v>
      </c>
      <c r="G71" s="12"/>
      <c r="H71" s="13"/>
      <c r="I71" s="30"/>
      <c r="J71" s="14"/>
      <c r="K71" s="31"/>
      <c r="L71" s="30"/>
    </row>
    <row r="72" spans="1:12" ht="20.25" x14ac:dyDescent="0.25">
      <c r="A72" s="9">
        <v>7</v>
      </c>
      <c r="B72" s="17" t="s">
        <v>83</v>
      </c>
      <c r="C72" s="17">
        <v>7</v>
      </c>
      <c r="D72" s="38"/>
      <c r="E72" s="17" t="s">
        <v>22</v>
      </c>
      <c r="F72" s="18">
        <v>97</v>
      </c>
      <c r="G72" s="12"/>
      <c r="H72" s="13"/>
      <c r="I72" s="30"/>
      <c r="J72" s="14"/>
      <c r="K72" s="31"/>
      <c r="L72" s="30"/>
    </row>
    <row r="73" spans="1:12" ht="20.25" x14ac:dyDescent="0.25">
      <c r="A73" s="9">
        <v>8</v>
      </c>
      <c r="B73" s="17" t="s">
        <v>83</v>
      </c>
      <c r="C73" s="17">
        <v>8</v>
      </c>
      <c r="D73" s="17"/>
      <c r="E73" s="17" t="s">
        <v>20</v>
      </c>
      <c r="F73" s="18">
        <v>51</v>
      </c>
      <c r="G73" s="12"/>
      <c r="H73" s="13"/>
      <c r="I73" s="30"/>
      <c r="J73" s="14"/>
      <c r="K73" s="31"/>
      <c r="L73" s="32"/>
    </row>
    <row r="74" spans="1:12" ht="20.25" x14ac:dyDescent="0.25">
      <c r="A74" s="9">
        <v>9</v>
      </c>
      <c r="B74" s="17" t="s">
        <v>83</v>
      </c>
      <c r="C74" s="17">
        <v>9</v>
      </c>
      <c r="D74" s="38"/>
      <c r="E74" s="17" t="s">
        <v>22</v>
      </c>
      <c r="F74" s="18">
        <v>97</v>
      </c>
      <c r="G74" s="12"/>
      <c r="H74" s="13"/>
      <c r="I74" s="30"/>
      <c r="J74" s="14"/>
      <c r="K74" s="31"/>
      <c r="L74" s="30"/>
    </row>
    <row r="75" spans="1:12" ht="20.25" x14ac:dyDescent="0.25">
      <c r="A75" s="9">
        <v>10</v>
      </c>
      <c r="B75" s="17" t="s">
        <v>83</v>
      </c>
      <c r="C75" s="17">
        <v>10</v>
      </c>
      <c r="D75" s="38"/>
      <c r="E75" s="17" t="s">
        <v>22</v>
      </c>
      <c r="F75" s="18">
        <v>100</v>
      </c>
      <c r="G75" s="12"/>
      <c r="H75" s="13"/>
      <c r="I75" s="30"/>
      <c r="J75" s="14"/>
      <c r="K75" s="31"/>
      <c r="L75" s="32"/>
    </row>
    <row r="76" spans="1:12" ht="20.25" x14ac:dyDescent="0.25">
      <c r="A76" s="9">
        <v>11</v>
      </c>
      <c r="B76" s="17" t="s">
        <v>83</v>
      </c>
      <c r="C76" s="17">
        <v>11</v>
      </c>
      <c r="D76" s="17"/>
      <c r="E76" s="17" t="s">
        <v>20</v>
      </c>
      <c r="F76" s="18">
        <v>49</v>
      </c>
      <c r="G76" s="12"/>
      <c r="H76" s="13"/>
      <c r="I76" s="30"/>
      <c r="J76" s="14"/>
      <c r="K76" s="31"/>
      <c r="L76" s="30"/>
    </row>
    <row r="77" spans="1:12" ht="20.25" x14ac:dyDescent="0.25">
      <c r="A77" s="9">
        <v>12</v>
      </c>
      <c r="B77" s="17" t="s">
        <v>83</v>
      </c>
      <c r="C77" s="17">
        <v>12</v>
      </c>
      <c r="D77" s="17"/>
      <c r="E77" s="17" t="s">
        <v>20</v>
      </c>
      <c r="F77" s="18">
        <v>49</v>
      </c>
      <c r="G77" s="12"/>
      <c r="H77" s="13"/>
      <c r="I77" s="30"/>
      <c r="J77" s="14"/>
      <c r="K77" s="31"/>
      <c r="L77" s="30"/>
    </row>
    <row r="78" spans="1:12" ht="20.25" x14ac:dyDescent="0.25">
      <c r="A78" s="9">
        <v>13</v>
      </c>
      <c r="B78" s="17" t="s">
        <v>83</v>
      </c>
      <c r="C78" s="17">
        <v>13</v>
      </c>
      <c r="D78" s="38"/>
      <c r="E78" s="17" t="s">
        <v>22</v>
      </c>
      <c r="F78" s="18">
        <v>101</v>
      </c>
      <c r="G78" s="12"/>
      <c r="H78" s="13"/>
      <c r="I78" s="30"/>
      <c r="J78" s="14"/>
      <c r="K78" s="31"/>
      <c r="L78" s="32"/>
    </row>
    <row r="79" spans="1:12" ht="20.25" x14ac:dyDescent="0.25">
      <c r="A79" s="9">
        <v>14</v>
      </c>
      <c r="B79" s="17" t="s">
        <v>83</v>
      </c>
      <c r="C79" s="17">
        <v>14</v>
      </c>
      <c r="D79" s="17"/>
      <c r="E79" s="17" t="s">
        <v>22</v>
      </c>
      <c r="F79" s="18">
        <v>100</v>
      </c>
      <c r="G79" s="12"/>
      <c r="H79" s="13"/>
      <c r="I79" s="30"/>
      <c r="J79" s="14"/>
      <c r="K79" s="31"/>
      <c r="L79" s="30"/>
    </row>
    <row r="80" spans="1:12" ht="20.25" x14ac:dyDescent="0.25">
      <c r="A80" s="9">
        <v>15</v>
      </c>
      <c r="B80" s="17" t="s">
        <v>83</v>
      </c>
      <c r="C80" s="17">
        <v>15</v>
      </c>
      <c r="D80" s="38"/>
      <c r="E80" s="17" t="s">
        <v>20</v>
      </c>
      <c r="F80" s="18">
        <v>51</v>
      </c>
      <c r="G80" s="12"/>
      <c r="H80" s="13"/>
      <c r="I80" s="30"/>
      <c r="J80" s="14"/>
      <c r="K80" s="31"/>
      <c r="L80" s="32"/>
    </row>
    <row r="81" spans="1:12" ht="20.25" x14ac:dyDescent="0.25">
      <c r="A81" s="9">
        <v>16</v>
      </c>
      <c r="B81" s="17" t="s">
        <v>83</v>
      </c>
      <c r="C81" s="17">
        <v>16</v>
      </c>
      <c r="D81" s="17"/>
      <c r="E81" s="17" t="s">
        <v>22</v>
      </c>
      <c r="F81" s="18">
        <v>97</v>
      </c>
      <c r="G81" s="12"/>
      <c r="H81" s="13"/>
      <c r="I81" s="30"/>
      <c r="J81" s="14"/>
      <c r="K81" s="31"/>
      <c r="L81" s="30"/>
    </row>
    <row r="82" spans="1:12" ht="20.25" x14ac:dyDescent="0.25">
      <c r="A82" s="9">
        <v>17</v>
      </c>
      <c r="B82" s="17" t="s">
        <v>83</v>
      </c>
      <c r="C82" s="17">
        <v>17</v>
      </c>
      <c r="D82" s="17"/>
      <c r="E82" s="17" t="s">
        <v>22</v>
      </c>
      <c r="F82" s="18">
        <v>100</v>
      </c>
      <c r="G82" s="12"/>
      <c r="H82" s="13"/>
      <c r="I82" s="30"/>
      <c r="J82" s="14"/>
      <c r="K82" s="31"/>
      <c r="L82" s="30"/>
    </row>
    <row r="83" spans="1:12" ht="20.25" x14ac:dyDescent="0.25">
      <c r="A83" s="9">
        <v>18</v>
      </c>
      <c r="B83" s="17" t="s">
        <v>83</v>
      </c>
      <c r="C83" s="17">
        <v>18</v>
      </c>
      <c r="D83" s="17"/>
      <c r="E83" s="17" t="s">
        <v>20</v>
      </c>
      <c r="F83" s="18">
        <v>49</v>
      </c>
      <c r="G83" s="12"/>
      <c r="H83" s="13"/>
      <c r="I83" s="30"/>
      <c r="J83" s="14"/>
      <c r="K83" s="31"/>
      <c r="L83" s="32"/>
    </row>
    <row r="84" spans="1:12" ht="20.25" x14ac:dyDescent="0.25">
      <c r="A84" s="9">
        <v>19</v>
      </c>
      <c r="B84" s="17" t="s">
        <v>83</v>
      </c>
      <c r="C84" s="17">
        <v>19</v>
      </c>
      <c r="D84" s="38"/>
      <c r="E84" s="17" t="s">
        <v>20</v>
      </c>
      <c r="F84" s="18">
        <v>49</v>
      </c>
      <c r="G84" s="12"/>
      <c r="H84" s="13"/>
      <c r="I84" s="30"/>
      <c r="J84" s="14"/>
      <c r="K84" s="31"/>
      <c r="L84" s="32"/>
    </row>
    <row r="85" spans="1:12" ht="20.25" x14ac:dyDescent="0.25">
      <c r="A85" s="9">
        <v>20</v>
      </c>
      <c r="B85" s="17" t="s">
        <v>83</v>
      </c>
      <c r="C85" s="17">
        <v>20</v>
      </c>
      <c r="D85" s="17"/>
      <c r="E85" s="17" t="s">
        <v>22</v>
      </c>
      <c r="F85" s="18">
        <v>101</v>
      </c>
      <c r="G85" s="12"/>
      <c r="H85" s="13"/>
      <c r="I85" s="30"/>
      <c r="J85" s="14"/>
      <c r="K85" s="31"/>
      <c r="L85" s="32"/>
    </row>
    <row r="86" spans="1:12" ht="20.25" x14ac:dyDescent="0.25">
      <c r="A86" s="9">
        <v>21</v>
      </c>
      <c r="B86" s="17" t="s">
        <v>83</v>
      </c>
      <c r="C86" s="17">
        <v>21</v>
      </c>
      <c r="D86" s="17"/>
      <c r="E86" s="17" t="s">
        <v>22</v>
      </c>
      <c r="F86" s="18">
        <v>100</v>
      </c>
      <c r="G86" s="12"/>
      <c r="H86" s="13"/>
      <c r="I86" s="30"/>
      <c r="J86" s="14"/>
      <c r="K86" s="31"/>
      <c r="L86" s="30"/>
    </row>
    <row r="87" spans="1:12" ht="20.25" x14ac:dyDescent="0.25">
      <c r="A87" s="9">
        <v>22</v>
      </c>
      <c r="B87" s="17" t="s">
        <v>83</v>
      </c>
      <c r="C87" s="17">
        <v>22</v>
      </c>
      <c r="D87" s="17"/>
      <c r="E87" s="17" t="s">
        <v>22</v>
      </c>
      <c r="F87" s="18">
        <v>51</v>
      </c>
      <c r="G87" s="12"/>
      <c r="H87" s="13"/>
      <c r="I87" s="30"/>
      <c r="J87" s="14"/>
      <c r="K87" s="31"/>
      <c r="L87" s="32"/>
    </row>
    <row r="88" spans="1:12" ht="20.25" x14ac:dyDescent="0.25">
      <c r="A88" s="9">
        <v>23</v>
      </c>
      <c r="B88" s="17" t="s">
        <v>83</v>
      </c>
      <c r="C88" s="17">
        <v>23</v>
      </c>
      <c r="D88" s="17"/>
      <c r="E88" s="17" t="s">
        <v>22</v>
      </c>
      <c r="F88" s="18">
        <v>97</v>
      </c>
      <c r="G88" s="12"/>
      <c r="H88" s="13"/>
      <c r="I88" s="30"/>
      <c r="J88" s="14"/>
      <c r="K88" s="31"/>
      <c r="L88" s="32"/>
    </row>
    <row r="89" spans="1:12" ht="20.25" x14ac:dyDescent="0.25">
      <c r="A89" s="9">
        <v>24</v>
      </c>
      <c r="B89" s="17" t="s">
        <v>83</v>
      </c>
      <c r="C89" s="17">
        <v>24</v>
      </c>
      <c r="D89" s="38"/>
      <c r="E89" s="17" t="s">
        <v>20</v>
      </c>
      <c r="F89" s="18">
        <v>100</v>
      </c>
      <c r="G89" s="12"/>
      <c r="H89" s="13"/>
      <c r="I89" s="30"/>
      <c r="J89" s="14"/>
      <c r="K89" s="31"/>
      <c r="L89" s="32"/>
    </row>
    <row r="90" spans="1:12" ht="20.25" x14ac:dyDescent="0.25">
      <c r="A90" s="9">
        <v>25</v>
      </c>
      <c r="B90" s="17" t="s">
        <v>83</v>
      </c>
      <c r="C90" s="17">
        <v>25</v>
      </c>
      <c r="D90" s="17"/>
      <c r="E90" s="17" t="s">
        <v>20</v>
      </c>
      <c r="F90" s="18">
        <v>49</v>
      </c>
      <c r="G90" s="12"/>
      <c r="H90" s="13"/>
      <c r="I90" s="30"/>
      <c r="J90" s="14"/>
      <c r="K90" s="31"/>
      <c r="L90" s="30"/>
    </row>
    <row r="91" spans="1:12" ht="20.25" x14ac:dyDescent="0.25">
      <c r="A91" s="9">
        <v>26</v>
      </c>
      <c r="B91" s="17" t="s">
        <v>83</v>
      </c>
      <c r="C91" s="17">
        <v>26</v>
      </c>
      <c r="D91" s="17"/>
      <c r="E91" s="17" t="s">
        <v>20</v>
      </c>
      <c r="F91" s="18">
        <v>49</v>
      </c>
      <c r="G91" s="12"/>
      <c r="H91" s="13"/>
      <c r="I91" s="30"/>
      <c r="J91" s="14"/>
      <c r="K91" s="31"/>
      <c r="L91" s="30"/>
    </row>
    <row r="92" spans="1:12" ht="20.25" x14ac:dyDescent="0.25">
      <c r="A92" s="9">
        <v>27</v>
      </c>
      <c r="B92" s="17" t="s">
        <v>83</v>
      </c>
      <c r="C92" s="17">
        <v>27</v>
      </c>
      <c r="D92" s="17"/>
      <c r="E92" s="17" t="s">
        <v>22</v>
      </c>
      <c r="F92" s="18">
        <v>101</v>
      </c>
      <c r="G92" s="12"/>
      <c r="H92" s="13"/>
      <c r="I92" s="30"/>
      <c r="J92" s="14"/>
      <c r="K92" s="31"/>
      <c r="L92" s="32"/>
    </row>
    <row r="93" spans="1:12" ht="20.25" x14ac:dyDescent="0.25">
      <c r="A93" s="9">
        <v>28</v>
      </c>
      <c r="B93" s="17" t="s">
        <v>83</v>
      </c>
      <c r="C93" s="17">
        <v>28</v>
      </c>
      <c r="D93" s="17"/>
      <c r="E93" s="17" t="s">
        <v>22</v>
      </c>
      <c r="F93" s="18">
        <v>100</v>
      </c>
      <c r="G93" s="12"/>
      <c r="H93" s="13"/>
      <c r="I93" s="30"/>
      <c r="J93" s="14"/>
      <c r="K93" s="31"/>
      <c r="L93" s="30"/>
    </row>
    <row r="94" spans="1:12" ht="20.25" x14ac:dyDescent="0.25">
      <c r="A94" s="9">
        <v>29</v>
      </c>
      <c r="B94" s="17" t="s">
        <v>83</v>
      </c>
      <c r="C94" s="17">
        <v>29</v>
      </c>
      <c r="D94" s="38"/>
      <c r="E94" s="17" t="s">
        <v>20</v>
      </c>
      <c r="F94" s="18">
        <v>51</v>
      </c>
      <c r="G94" s="12"/>
      <c r="H94" s="13"/>
      <c r="I94" s="30"/>
      <c r="J94" s="14"/>
      <c r="K94" s="31"/>
      <c r="L94" s="32"/>
    </row>
    <row r="95" spans="1:12" ht="20.25" x14ac:dyDescent="0.25">
      <c r="A95" s="9">
        <v>30</v>
      </c>
      <c r="B95" s="17" t="s">
        <v>83</v>
      </c>
      <c r="C95" s="17">
        <v>30</v>
      </c>
      <c r="D95" s="38"/>
      <c r="E95" s="17" t="s">
        <v>22</v>
      </c>
      <c r="F95" s="18">
        <v>97</v>
      </c>
      <c r="G95" s="12"/>
      <c r="H95" s="13"/>
      <c r="I95" s="30"/>
      <c r="J95" s="14"/>
      <c r="K95" s="31"/>
      <c r="L95" s="32"/>
    </row>
    <row r="96" spans="1:12" ht="20.25" x14ac:dyDescent="0.25">
      <c r="A96" s="9">
        <v>31</v>
      </c>
      <c r="B96" s="17" t="s">
        <v>83</v>
      </c>
      <c r="C96" s="17">
        <v>31</v>
      </c>
      <c r="D96" s="17"/>
      <c r="E96" s="17" t="s">
        <v>22</v>
      </c>
      <c r="F96" s="18">
        <v>100</v>
      </c>
      <c r="G96" s="12"/>
      <c r="H96" s="13"/>
      <c r="I96" s="30"/>
      <c r="J96" s="14"/>
      <c r="K96" s="31"/>
      <c r="L96" s="32"/>
    </row>
    <row r="97" spans="1:12" ht="20.25" x14ac:dyDescent="0.25">
      <c r="A97" s="9">
        <v>32</v>
      </c>
      <c r="B97" s="17" t="s">
        <v>83</v>
      </c>
      <c r="C97" s="17">
        <v>32</v>
      </c>
      <c r="D97" s="17"/>
      <c r="E97" s="17" t="s">
        <v>20</v>
      </c>
      <c r="F97" s="18">
        <v>49</v>
      </c>
      <c r="G97" s="12"/>
      <c r="H97" s="13"/>
      <c r="I97" s="30"/>
      <c r="J97" s="14"/>
      <c r="K97" s="31"/>
      <c r="L97" s="32"/>
    </row>
    <row r="98" spans="1:12" ht="20.25" x14ac:dyDescent="0.25">
      <c r="A98" s="9">
        <v>33</v>
      </c>
      <c r="B98" s="17" t="s">
        <v>83</v>
      </c>
      <c r="C98" s="17">
        <v>33</v>
      </c>
      <c r="D98" s="38"/>
      <c r="E98" s="17" t="s">
        <v>20</v>
      </c>
      <c r="F98" s="18">
        <v>49</v>
      </c>
      <c r="G98" s="12"/>
      <c r="H98" s="13"/>
      <c r="I98" s="30"/>
      <c r="J98" s="14"/>
      <c r="K98" s="31"/>
      <c r="L98" s="30"/>
    </row>
    <row r="99" spans="1:12" ht="20.25" x14ac:dyDescent="0.25">
      <c r="A99" s="9">
        <v>34</v>
      </c>
      <c r="B99" s="17" t="s">
        <v>83</v>
      </c>
      <c r="C99" s="17">
        <v>34</v>
      </c>
      <c r="D99" s="38"/>
      <c r="E99" s="17" t="s">
        <v>22</v>
      </c>
      <c r="F99" s="18">
        <v>101</v>
      </c>
      <c r="G99" s="12"/>
      <c r="H99" s="13"/>
      <c r="I99" s="30"/>
      <c r="J99" s="14"/>
      <c r="K99" s="31"/>
      <c r="L99" s="32"/>
    </row>
    <row r="100" spans="1:12" ht="20.25" x14ac:dyDescent="0.25">
      <c r="A100" s="9">
        <v>35</v>
      </c>
      <c r="B100" s="17" t="s">
        <v>83</v>
      </c>
      <c r="C100" s="17">
        <v>35</v>
      </c>
      <c r="D100" s="17"/>
      <c r="E100" s="17" t="s">
        <v>22</v>
      </c>
      <c r="F100" s="18">
        <v>100</v>
      </c>
      <c r="G100" s="12"/>
      <c r="H100" s="13"/>
      <c r="I100" s="30"/>
      <c r="J100" s="14"/>
      <c r="K100" s="31"/>
      <c r="L100" s="32"/>
    </row>
    <row r="101" spans="1:12" ht="20.25" x14ac:dyDescent="0.25">
      <c r="A101" s="9">
        <v>36</v>
      </c>
      <c r="B101" s="17" t="s">
        <v>83</v>
      </c>
      <c r="C101" s="17">
        <v>36</v>
      </c>
      <c r="D101" s="38"/>
      <c r="E101" s="17" t="s">
        <v>20</v>
      </c>
      <c r="F101" s="18">
        <v>51</v>
      </c>
      <c r="G101" s="12"/>
      <c r="H101" s="13"/>
      <c r="I101" s="30"/>
      <c r="J101" s="14"/>
      <c r="K101" s="31"/>
      <c r="L101" s="30"/>
    </row>
    <row r="102" spans="1:12" ht="20.25" x14ac:dyDescent="0.25">
      <c r="A102" s="9">
        <v>37</v>
      </c>
      <c r="B102" s="17" t="s">
        <v>83</v>
      </c>
      <c r="C102" s="17">
        <v>37</v>
      </c>
      <c r="D102" s="38"/>
      <c r="E102" s="17" t="s">
        <v>22</v>
      </c>
      <c r="F102" s="18">
        <v>97</v>
      </c>
      <c r="G102" s="12"/>
      <c r="H102" s="13"/>
      <c r="I102" s="30"/>
      <c r="J102" s="14"/>
      <c r="K102" s="31"/>
      <c r="L102" s="32"/>
    </row>
    <row r="103" spans="1:12" ht="20.25" x14ac:dyDescent="0.25">
      <c r="A103" s="9">
        <v>38</v>
      </c>
      <c r="B103" s="17" t="s">
        <v>83</v>
      </c>
      <c r="C103" s="17">
        <v>38</v>
      </c>
      <c r="D103" s="38"/>
      <c r="E103" s="17" t="s">
        <v>22</v>
      </c>
      <c r="F103" s="18">
        <v>100</v>
      </c>
      <c r="G103" s="12"/>
      <c r="H103" s="13"/>
      <c r="I103" s="30"/>
      <c r="J103" s="14"/>
      <c r="K103" s="31"/>
      <c r="L103" s="30"/>
    </row>
    <row r="104" spans="1:12" ht="20.25" x14ac:dyDescent="0.25">
      <c r="A104" s="9">
        <v>39</v>
      </c>
      <c r="B104" s="17" t="s">
        <v>83</v>
      </c>
      <c r="C104" s="17">
        <v>39</v>
      </c>
      <c r="D104" s="17"/>
      <c r="E104" s="17" t="s">
        <v>20</v>
      </c>
      <c r="F104" s="18">
        <v>49</v>
      </c>
      <c r="G104" s="12"/>
      <c r="H104" s="13"/>
      <c r="I104" s="30"/>
      <c r="J104" s="14"/>
      <c r="K104" s="31"/>
      <c r="L104" s="30"/>
    </row>
    <row r="105" spans="1:12" ht="20.25" x14ac:dyDescent="0.25">
      <c r="A105" s="9">
        <v>40</v>
      </c>
      <c r="B105" s="17" t="s">
        <v>83</v>
      </c>
      <c r="C105" s="17">
        <v>40</v>
      </c>
      <c r="D105" s="17"/>
      <c r="E105" s="17" t="s">
        <v>20</v>
      </c>
      <c r="F105" s="18">
        <v>49</v>
      </c>
      <c r="G105" s="12"/>
      <c r="H105" s="13"/>
      <c r="I105" s="30"/>
      <c r="J105" s="14"/>
      <c r="K105" s="31"/>
      <c r="L105" s="30"/>
    </row>
    <row r="106" spans="1:12" ht="20.25" x14ac:dyDescent="0.25">
      <c r="A106" s="9">
        <v>41</v>
      </c>
      <c r="B106" s="17" t="s">
        <v>83</v>
      </c>
      <c r="C106" s="17">
        <v>41</v>
      </c>
      <c r="D106" s="38"/>
      <c r="E106" s="17" t="s">
        <v>22</v>
      </c>
      <c r="F106" s="18">
        <v>101</v>
      </c>
      <c r="G106" s="12"/>
      <c r="H106" s="13"/>
      <c r="I106" s="30"/>
      <c r="J106" s="14"/>
      <c r="K106" s="31"/>
      <c r="L106" s="32"/>
    </row>
    <row r="107" spans="1:12" ht="20.25" x14ac:dyDescent="0.25">
      <c r="A107" s="9">
        <v>42</v>
      </c>
      <c r="B107" s="17" t="s">
        <v>83</v>
      </c>
      <c r="C107" s="17">
        <v>42</v>
      </c>
      <c r="D107" s="38"/>
      <c r="E107" s="17" t="s">
        <v>22</v>
      </c>
      <c r="F107" s="18">
        <v>100</v>
      </c>
      <c r="G107" s="12"/>
      <c r="H107" s="13"/>
      <c r="I107" s="30"/>
      <c r="J107" s="14"/>
      <c r="K107" s="31"/>
      <c r="L107" s="32"/>
    </row>
    <row r="108" spans="1:12" ht="20.25" x14ac:dyDescent="0.25">
      <c r="A108" s="9">
        <v>43</v>
      </c>
      <c r="B108" s="17" t="s">
        <v>83</v>
      </c>
      <c r="C108" s="17">
        <v>43</v>
      </c>
      <c r="D108" s="17"/>
      <c r="E108" s="17" t="s">
        <v>20</v>
      </c>
      <c r="F108" s="18">
        <v>51</v>
      </c>
      <c r="G108" s="12"/>
      <c r="H108" s="13"/>
      <c r="I108" s="30"/>
      <c r="J108" s="14"/>
      <c r="K108" s="31"/>
      <c r="L108" s="30"/>
    </row>
    <row r="109" spans="1:12" ht="20.25" x14ac:dyDescent="0.25">
      <c r="A109" s="9">
        <v>44</v>
      </c>
      <c r="B109" s="17" t="s">
        <v>83</v>
      </c>
      <c r="C109" s="17">
        <v>44</v>
      </c>
      <c r="D109" s="38"/>
      <c r="E109" s="17" t="s">
        <v>22</v>
      </c>
      <c r="F109" s="18">
        <v>97</v>
      </c>
      <c r="G109" s="12"/>
      <c r="H109" s="13"/>
      <c r="I109" s="30"/>
      <c r="J109" s="14"/>
      <c r="K109" s="31"/>
      <c r="L109" s="32"/>
    </row>
    <row r="110" spans="1:12" ht="20.25" x14ac:dyDescent="0.25">
      <c r="A110" s="9">
        <v>45</v>
      </c>
      <c r="B110" s="17" t="s">
        <v>83</v>
      </c>
      <c r="C110" s="17">
        <v>45</v>
      </c>
      <c r="D110" s="38"/>
      <c r="E110" s="17" t="s">
        <v>22</v>
      </c>
      <c r="F110" s="18">
        <v>100</v>
      </c>
      <c r="G110" s="12"/>
      <c r="H110" s="13"/>
      <c r="I110" s="30"/>
      <c r="J110" s="14"/>
      <c r="K110" s="31"/>
      <c r="L110" s="32"/>
    </row>
    <row r="111" spans="1:12" ht="20.25" x14ac:dyDescent="0.25">
      <c r="A111" s="9">
        <v>46</v>
      </c>
      <c r="B111" s="17" t="s">
        <v>83</v>
      </c>
      <c r="C111" s="17">
        <v>46</v>
      </c>
      <c r="D111" s="38"/>
      <c r="E111" s="17" t="s">
        <v>20</v>
      </c>
      <c r="F111" s="18">
        <v>49</v>
      </c>
      <c r="G111" s="12"/>
      <c r="H111" s="13"/>
      <c r="I111" s="30"/>
      <c r="J111" s="14"/>
      <c r="K111" s="31"/>
      <c r="L111" s="30"/>
    </row>
    <row r="112" spans="1:12" ht="20.25" x14ac:dyDescent="0.25">
      <c r="A112" s="9">
        <v>47</v>
      </c>
      <c r="B112" s="17" t="s">
        <v>83</v>
      </c>
      <c r="C112" s="17">
        <v>47</v>
      </c>
      <c r="D112" s="38"/>
      <c r="E112" s="17" t="s">
        <v>20</v>
      </c>
      <c r="F112" s="18">
        <v>49</v>
      </c>
      <c r="G112" s="12"/>
      <c r="H112" s="13"/>
      <c r="I112" s="30"/>
      <c r="J112" s="14"/>
      <c r="K112" s="31"/>
      <c r="L112" s="30"/>
    </row>
    <row r="113" spans="1:12" ht="20.25" x14ac:dyDescent="0.25">
      <c r="A113" s="9">
        <v>48</v>
      </c>
      <c r="B113" s="17" t="s">
        <v>83</v>
      </c>
      <c r="C113" s="17">
        <v>48</v>
      </c>
      <c r="D113" s="38"/>
      <c r="E113" s="17" t="s">
        <v>22</v>
      </c>
      <c r="F113" s="18">
        <v>101</v>
      </c>
      <c r="G113" s="12"/>
      <c r="H113" s="13"/>
      <c r="I113" s="30"/>
      <c r="J113" s="14"/>
      <c r="K113" s="31"/>
      <c r="L113" s="32"/>
    </row>
    <row r="114" spans="1:12" ht="20.25" x14ac:dyDescent="0.25">
      <c r="A114" s="9">
        <v>49</v>
      </c>
      <c r="B114" s="17" t="s">
        <v>83</v>
      </c>
      <c r="C114" s="17">
        <v>49</v>
      </c>
      <c r="D114" s="38"/>
      <c r="E114" s="17" t="s">
        <v>22</v>
      </c>
      <c r="F114" s="18">
        <v>100</v>
      </c>
      <c r="G114" s="12"/>
      <c r="H114" s="13"/>
      <c r="I114" s="30"/>
      <c r="J114" s="14"/>
      <c r="K114" s="31"/>
      <c r="L114" s="32"/>
    </row>
    <row r="115" spans="1:12" ht="20.25" x14ac:dyDescent="0.25">
      <c r="A115" s="9">
        <v>50</v>
      </c>
      <c r="B115" s="17" t="s">
        <v>83</v>
      </c>
      <c r="C115" s="17">
        <v>50</v>
      </c>
      <c r="D115" s="17"/>
      <c r="E115" s="17" t="s">
        <v>20</v>
      </c>
      <c r="F115" s="18">
        <v>51</v>
      </c>
      <c r="G115" s="12"/>
      <c r="H115" s="13"/>
      <c r="I115" s="30"/>
      <c r="J115" s="14"/>
      <c r="K115" s="31"/>
      <c r="L115" s="30"/>
    </row>
    <row r="116" spans="1:12" ht="20.25" x14ac:dyDescent="0.25">
      <c r="A116" s="9">
        <v>51</v>
      </c>
      <c r="B116" s="17" t="s">
        <v>83</v>
      </c>
      <c r="C116" s="17">
        <v>51</v>
      </c>
      <c r="D116" s="17"/>
      <c r="E116" s="17" t="s">
        <v>22</v>
      </c>
      <c r="F116" s="18">
        <v>97</v>
      </c>
      <c r="G116" s="12"/>
      <c r="H116" s="13"/>
      <c r="I116" s="30"/>
      <c r="J116" s="14"/>
      <c r="K116" s="31"/>
      <c r="L116" s="30"/>
    </row>
    <row r="117" spans="1:12" ht="20.25" x14ac:dyDescent="0.25">
      <c r="A117" s="9">
        <v>52</v>
      </c>
      <c r="B117" s="17" t="s">
        <v>83</v>
      </c>
      <c r="C117" s="17">
        <v>52</v>
      </c>
      <c r="D117" s="38"/>
      <c r="E117" s="17" t="s">
        <v>22</v>
      </c>
      <c r="F117" s="18">
        <v>100</v>
      </c>
      <c r="G117" s="12"/>
      <c r="H117" s="13"/>
      <c r="I117" s="30"/>
      <c r="J117" s="14"/>
      <c r="K117" s="31"/>
      <c r="L117" s="32"/>
    </row>
    <row r="118" spans="1:12" ht="20.25" x14ac:dyDescent="0.25">
      <c r="A118" s="9">
        <v>53</v>
      </c>
      <c r="B118" s="17" t="s">
        <v>83</v>
      </c>
      <c r="C118" s="17">
        <v>53</v>
      </c>
      <c r="D118" s="38" t="s">
        <v>187</v>
      </c>
      <c r="E118" s="17" t="s">
        <v>20</v>
      </c>
      <c r="F118" s="18">
        <v>49</v>
      </c>
      <c r="G118" s="12"/>
      <c r="H118" s="13"/>
      <c r="I118" s="30"/>
      <c r="J118" s="14"/>
      <c r="K118" s="31"/>
      <c r="L118" s="30"/>
    </row>
    <row r="119" spans="1:12" ht="20.25" x14ac:dyDescent="0.25">
      <c r="A119" s="9">
        <v>54</v>
      </c>
      <c r="B119" s="17" t="s">
        <v>83</v>
      </c>
      <c r="C119" s="17">
        <v>54</v>
      </c>
      <c r="D119" s="17"/>
      <c r="E119" s="17" t="s">
        <v>20</v>
      </c>
      <c r="F119" s="18">
        <v>49</v>
      </c>
      <c r="G119" s="12"/>
      <c r="H119" s="13"/>
      <c r="I119" s="30"/>
      <c r="J119" s="14"/>
      <c r="K119" s="31"/>
      <c r="L119" s="32"/>
    </row>
    <row r="120" spans="1:12" ht="20.25" x14ac:dyDescent="0.25">
      <c r="A120" s="9">
        <v>55</v>
      </c>
      <c r="B120" s="17" t="s">
        <v>83</v>
      </c>
      <c r="C120" s="17">
        <v>55</v>
      </c>
      <c r="D120" s="17"/>
      <c r="E120" s="17" t="s">
        <v>22</v>
      </c>
      <c r="F120" s="18">
        <v>101</v>
      </c>
      <c r="G120" s="12"/>
      <c r="H120" s="13"/>
      <c r="I120" s="30"/>
      <c r="J120" s="14"/>
      <c r="K120" s="31"/>
      <c r="L120" s="30"/>
    </row>
    <row r="121" spans="1:12" thickBot="1" x14ac:dyDescent="0.3">
      <c r="A121" s="20">
        <v>56</v>
      </c>
      <c r="B121" s="21" t="s">
        <v>83</v>
      </c>
      <c r="C121" s="21">
        <v>56</v>
      </c>
      <c r="D121" s="21"/>
      <c r="E121" s="21" t="s">
        <v>22</v>
      </c>
      <c r="F121" s="22">
        <v>100</v>
      </c>
      <c r="G121" s="23"/>
      <c r="H121" s="24"/>
      <c r="I121" s="36"/>
      <c r="J121" s="14"/>
      <c r="K121" s="37"/>
      <c r="L121" s="30"/>
    </row>
  </sheetData>
  <pageMargins left="0.23622047244094491" right="0.23622047244094491" top="0.35433070866141736" bottom="0.35433070866141736" header="0" footer="0"/>
  <pageSetup paperSize="9" scale="38" fitToHeight="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5</vt:i4>
      </vt:variant>
    </vt:vector>
  </HeadingPairs>
  <TitlesOfParts>
    <vt:vector size="11" baseType="lpstr">
      <vt:lpstr>DEMIRBAS_TAKIP</vt:lpstr>
      <vt:lpstr>AIDAT_DOGALGAZ_TAKIP</vt:lpstr>
      <vt:lpstr>DOĞALGAZ ABONELİK</vt:lpstr>
      <vt:lpstr>DOGALGAZ_FATURA</vt:lpstr>
      <vt:lpstr>DOGALGAZ_DATA</vt:lpstr>
      <vt:lpstr>DOĞALGAZ AVANS</vt:lpstr>
      <vt:lpstr>DOGALGAZ_FATURA!Yazdırma_Alanı</vt:lpstr>
      <vt:lpstr>'DOĞALGAZ AVANS'!Yazdırma_Alanı</vt:lpstr>
      <vt:lpstr>AIDAT_DOGALGAZ_TAKIP!Yazdırma_Başlıkları</vt:lpstr>
      <vt:lpstr>DEMIRBAS_TAKIP!Yazdırma_Başlıkları</vt:lpstr>
      <vt:lpstr>'DOĞALGAZ ABONELİK'!Yazdırma_Başlıkları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2026-07-06T09:13:59Z</dcterms:modified>
  <cp:category/>
  <cp:contentStatus/>
</cp:coreProperties>
</file>